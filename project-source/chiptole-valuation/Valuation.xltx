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5"/>
  <workbookPr updateLinks="always"/>
  <mc:AlternateContent xmlns:mc="http://schemas.openxmlformats.org/markup-compatibility/2006">
    <mc:Choice Requires="x15">
      <x15ac:absPath xmlns:x15ac="http://schemas.microsoft.com/office/spreadsheetml/2010/11/ac" url="/Users/marianeame/Desktop/"/>
    </mc:Choice>
  </mc:AlternateContent>
  <xr:revisionPtr revIDLastSave="0" documentId="8_{21146EA0-A61F-0D46-A579-6FC399861799}" xr6:coauthVersionLast="47" xr6:coauthVersionMax="47" xr10:uidLastSave="{00000000-0000-0000-0000-000000000000}"/>
  <bookViews>
    <workbookView xWindow="0" yWindow="660" windowWidth="30240" windowHeight="18980" xr2:uid="{00000000-000D-0000-FFFF-FFFF00000000}"/>
  </bookViews>
  <sheets>
    <sheet name="Raw Data" sheetId="1" r:id="rId1"/>
    <sheet name="DuPont Analysis" sheetId="2" r:id="rId2"/>
    <sheet name="Ratio Analysis" sheetId="3" r:id="rId3"/>
    <sheet name="Peer Multiples" sheetId="4" r:id="rId4"/>
    <sheet name="Valuation" sheetId="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C28" i="2"/>
  <c r="D24" i="5"/>
  <c r="G7" i="4"/>
  <c r="E7" i="4"/>
  <c r="F7" i="4"/>
  <c r="D7" i="4"/>
  <c r="C7" i="4"/>
  <c r="G6" i="4"/>
  <c r="F6" i="4"/>
  <c r="E6" i="4"/>
  <c r="D6" i="4"/>
  <c r="C6" i="4"/>
  <c r="H5" i="4"/>
  <c r="D12" i="4" s="1"/>
  <c r="G5" i="4"/>
  <c r="F5" i="4"/>
  <c r="D11" i="4" s="1"/>
  <c r="E5" i="4"/>
  <c r="D5" i="4"/>
  <c r="C5" i="4"/>
  <c r="H4" i="4"/>
  <c r="G4" i="4"/>
  <c r="F4" i="4"/>
  <c r="E4" i="4"/>
  <c r="D4" i="4"/>
  <c r="C4" i="4"/>
  <c r="B4" i="4"/>
  <c r="B7" i="4"/>
  <c r="B6" i="4"/>
  <c r="B5" i="4"/>
  <c r="F20" i="3"/>
  <c r="F32" i="3"/>
  <c r="F31" i="3"/>
  <c r="F30" i="3"/>
  <c r="F29" i="3"/>
  <c r="F28" i="3"/>
  <c r="H32" i="3"/>
  <c r="H31" i="3"/>
  <c r="H30" i="3"/>
  <c r="H29" i="3"/>
  <c r="H28" i="3"/>
  <c r="H24" i="3"/>
  <c r="H23" i="3"/>
  <c r="H22" i="3"/>
  <c r="H21" i="3"/>
  <c r="H20" i="3"/>
  <c r="H16" i="3"/>
  <c r="H15" i="3"/>
  <c r="H14" i="3"/>
  <c r="H13" i="3"/>
  <c r="H12" i="3"/>
  <c r="H8" i="3"/>
  <c r="H7" i="3"/>
  <c r="H6" i="3"/>
  <c r="H5" i="3"/>
  <c r="H4" i="3"/>
  <c r="G32" i="3"/>
  <c r="G31" i="3"/>
  <c r="G30" i="3"/>
  <c r="G29" i="3"/>
  <c r="G28" i="3"/>
  <c r="E32" i="3"/>
  <c r="E31" i="3"/>
  <c r="E30" i="3"/>
  <c r="E29" i="3"/>
  <c r="E28" i="3"/>
  <c r="D32" i="3"/>
  <c r="D31" i="3"/>
  <c r="D30" i="3"/>
  <c r="D29" i="3"/>
  <c r="D28" i="3"/>
  <c r="C32" i="3"/>
  <c r="C31" i="3"/>
  <c r="C30" i="3"/>
  <c r="C29" i="3"/>
  <c r="C28" i="3"/>
  <c r="G20" i="3"/>
  <c r="E20" i="3"/>
  <c r="D20" i="3"/>
  <c r="C20" i="3"/>
  <c r="G24" i="3"/>
  <c r="G23" i="3"/>
  <c r="G22" i="3"/>
  <c r="G21" i="3"/>
  <c r="F24" i="3"/>
  <c r="F23" i="3"/>
  <c r="F22" i="3"/>
  <c r="F21" i="3"/>
  <c r="E24" i="3"/>
  <c r="E23" i="3"/>
  <c r="E22" i="3"/>
  <c r="E21" i="3"/>
  <c r="D24" i="3"/>
  <c r="D23" i="3"/>
  <c r="D22" i="3"/>
  <c r="D21" i="3"/>
  <c r="G12" i="3"/>
  <c r="F12" i="3"/>
  <c r="E12" i="3"/>
  <c r="D12" i="3"/>
  <c r="C24" i="3"/>
  <c r="C23" i="3"/>
  <c r="C22" i="3"/>
  <c r="C21" i="3"/>
  <c r="C12" i="3"/>
  <c r="G16" i="3"/>
  <c r="G15" i="3"/>
  <c r="G14" i="3"/>
  <c r="G13" i="3"/>
  <c r="F16" i="3"/>
  <c r="F15" i="3"/>
  <c r="F14" i="3"/>
  <c r="F13" i="3"/>
  <c r="E16" i="3"/>
  <c r="E15" i="3"/>
  <c r="E14" i="3"/>
  <c r="E13" i="3"/>
  <c r="D16" i="3"/>
  <c r="D15" i="3"/>
  <c r="D14" i="3"/>
  <c r="D13" i="3"/>
  <c r="C16" i="3"/>
  <c r="C15" i="3"/>
  <c r="C14" i="3"/>
  <c r="C13" i="3"/>
  <c r="F4" i="3"/>
  <c r="E4" i="3"/>
  <c r="D4" i="3"/>
  <c r="C4" i="3"/>
  <c r="G8" i="3"/>
  <c r="G7" i="3"/>
  <c r="G6" i="3"/>
  <c r="G5" i="3"/>
  <c r="F8" i="3"/>
  <c r="F7" i="3"/>
  <c r="F6" i="3"/>
  <c r="F5" i="3"/>
  <c r="E8" i="3"/>
  <c r="E7" i="3"/>
  <c r="E6" i="3"/>
  <c r="E5" i="3"/>
  <c r="D8" i="3"/>
  <c r="D7" i="3"/>
  <c r="D6" i="3"/>
  <c r="D5" i="3"/>
  <c r="C8" i="3"/>
  <c r="C7" i="3"/>
  <c r="C6" i="3"/>
  <c r="C5" i="3"/>
  <c r="E32" i="2"/>
  <c r="E31" i="2"/>
  <c r="E30" i="2"/>
  <c r="E29" i="2"/>
  <c r="E28" i="2"/>
  <c r="E20" i="2"/>
  <c r="D32" i="2"/>
  <c r="D31" i="2"/>
  <c r="D30" i="2"/>
  <c r="D29" i="2"/>
  <c r="D28" i="2"/>
  <c r="D20" i="2"/>
  <c r="C32" i="2"/>
  <c r="F32" i="2" s="1"/>
  <c r="C31" i="2"/>
  <c r="F31" i="2" s="1"/>
  <c r="C30" i="2"/>
  <c r="F30" i="2" s="1"/>
  <c r="C29" i="2"/>
  <c r="F29" i="2" s="1"/>
  <c r="F28" i="2"/>
  <c r="C20" i="2"/>
  <c r="F20" i="2"/>
  <c r="E24" i="2"/>
  <c r="E23" i="2"/>
  <c r="E22" i="2"/>
  <c r="E21" i="2"/>
  <c r="E12" i="2"/>
  <c r="D24" i="2"/>
  <c r="D23" i="2"/>
  <c r="D22" i="2"/>
  <c r="D21" i="2"/>
  <c r="D12" i="2"/>
  <c r="D16" i="2"/>
  <c r="C24" i="2"/>
  <c r="F24" i="2" s="1"/>
  <c r="C23" i="2"/>
  <c r="F23" i="2" s="1"/>
  <c r="C22" i="2"/>
  <c r="F22" i="2" s="1"/>
  <c r="C21" i="2"/>
  <c r="F21" i="2" s="1"/>
  <c r="C4" i="2"/>
  <c r="E16" i="2"/>
  <c r="E15" i="2"/>
  <c r="E14" i="2"/>
  <c r="E13" i="2"/>
  <c r="E4" i="2"/>
  <c r="D15" i="2"/>
  <c r="D14" i="2"/>
  <c r="D13" i="2"/>
  <c r="D4" i="2"/>
  <c r="F4" i="2" s="1"/>
  <c r="C16" i="2"/>
  <c r="F16" i="2" s="1"/>
  <c r="C15" i="2"/>
  <c r="F15" i="2" s="1"/>
  <c r="C14" i="2"/>
  <c r="F14" i="2" s="1"/>
  <c r="C13" i="2"/>
  <c r="F13" i="2" s="1"/>
  <c r="C12" i="2"/>
  <c r="F12" i="2" s="1"/>
  <c r="D8" i="2"/>
  <c r="D7" i="2"/>
  <c r="D6" i="2"/>
  <c r="D5" i="2"/>
  <c r="E8" i="2"/>
  <c r="E7" i="2"/>
  <c r="E6" i="2"/>
  <c r="E5" i="2"/>
  <c r="C5" i="2"/>
  <c r="F5" i="2" s="1"/>
  <c r="C8" i="2"/>
  <c r="F8" i="2" s="1"/>
  <c r="C7" i="2"/>
  <c r="F7" i="2" s="1"/>
  <c r="C6" i="2"/>
  <c r="F6" i="2" s="1"/>
  <c r="K5" i="5" l="1"/>
  <c r="C5" i="5"/>
  <c r="K6" i="5"/>
  <c r="C10" i="5"/>
  <c r="C15" i="5"/>
  <c r="K7" i="5"/>
  <c r="F10" i="5"/>
  <c r="K9" i="5"/>
  <c r="F15" i="5"/>
  <c r="K10" i="5"/>
  <c r="D10" i="4"/>
  <c r="K8" i="5" l="1"/>
  <c r="F5" i="5"/>
  <c r="A15" i="5"/>
  <c r="A10" i="5"/>
  <c r="A5" i="5"/>
  <c r="D20" i="5" l="1"/>
  <c r="D26" i="5" s="1"/>
  <c r="D21" i="5"/>
  <c r="D27" i="5" s="1"/>
</calcChain>
</file>

<file path=xl/sharedStrings.xml><?xml version="1.0" encoding="utf-8"?>
<sst xmlns="http://schemas.openxmlformats.org/spreadsheetml/2006/main" count="4759" uniqueCount="457">
  <si>
    <t>Chipotle Mexican Grill, Inc. (CMG)</t>
  </si>
  <si>
    <t> </t>
  </si>
  <si>
    <t>Chipotle Mexican Grill, Inc.</t>
  </si>
  <si>
    <t>CMG-US</t>
  </si>
  <si>
    <t xml:space="preserve">CMG   169656105   B0X7DZ3   NYSE    Common stock    </t>
  </si>
  <si>
    <t>Earnings Per Share</t>
  </si>
  <si>
    <t>Source: FactSet Fundamentals</t>
  </si>
  <si>
    <t>Dec '25E</t>
  </si>
  <si>
    <t>Fiscal Years</t>
  </si>
  <si>
    <t>Fiscal Quarters</t>
  </si>
  <si>
    <t>EPS</t>
  </si>
  <si>
    <t>DEC '24</t>
  </si>
  <si>
    <t>DEC '23</t>
  </si>
  <si>
    <t>DEC '22</t>
  </si>
  <si>
    <t>DEC '21</t>
  </si>
  <si>
    <t>DEC '20</t>
  </si>
  <si>
    <t>DEC '19</t>
  </si>
  <si>
    <t>DEC '18</t>
  </si>
  <si>
    <t>DEC '17</t>
  </si>
  <si>
    <t>DEC '16</t>
  </si>
  <si>
    <t>DEC '15</t>
  </si>
  <si>
    <t>SEP '25</t>
  </si>
  <si>
    <t>JUN '25</t>
  </si>
  <si>
    <t>MAR '25</t>
  </si>
  <si>
    <t>SEP '24</t>
  </si>
  <si>
    <t>JUN '24</t>
  </si>
  <si>
    <t>MAR '24</t>
  </si>
  <si>
    <t>SEP '23</t>
  </si>
  <si>
    <t>JUN '23</t>
  </si>
  <si>
    <t>EPS - GAAP</t>
  </si>
  <si>
    <t>Restate</t>
  </si>
  <si>
    <t>EPS - Non GAAP</t>
  </si>
  <si>
    <t>GAAP/IFRS Income Statement</t>
  </si>
  <si>
    <t>Product Segments (M)</t>
  </si>
  <si>
    <t>Sales</t>
  </si>
  <si>
    <t>Growth (%)</t>
  </si>
  <si>
    <t>Restaurant</t>
  </si>
  <si>
    <t>Cost of Goods Sold (COGS) incl. D&amp;A</t>
  </si>
  <si>
    <t>Delivery Service</t>
  </si>
  <si>
    <t>COGS excluding D&amp;A</t>
  </si>
  <si>
    <t>Depreciation &amp; Amortization Expense</t>
  </si>
  <si>
    <t>Industry Metrics</t>
  </si>
  <si>
    <t>Depreciation</t>
  </si>
  <si>
    <t>Gross Income</t>
  </si>
  <si>
    <t>Same Store Sales (%)</t>
  </si>
  <si>
    <t>EBIT (Operating Income)</t>
  </si>
  <si>
    <t>Traffic SSS</t>
  </si>
  <si>
    <t>Check SSS</t>
  </si>
  <si>
    <t>Margin (%)</t>
  </si>
  <si>
    <t>Selling Space Sq. Ft. (millions)</t>
  </si>
  <si>
    <t>Nonoperating Income - Net</t>
  </si>
  <si>
    <t># Stores at Period End</t>
  </si>
  <si>
    <t>Nonoperating Interest Income</t>
  </si>
  <si>
    <t># Stores Closed During Period</t>
  </si>
  <si>
    <t>Other Income (Expense)</t>
  </si>
  <si>
    <t># Stores Opened</t>
  </si>
  <si>
    <t>Unusual Expense - Net</t>
  </si>
  <si>
    <t>Guidance (Low)</t>
  </si>
  <si>
    <t>Impairments</t>
  </si>
  <si>
    <t>-</t>
  </si>
  <si>
    <t>Guidance (High)</t>
  </si>
  <si>
    <t>Property,Plant &amp; Equipment</t>
  </si>
  <si>
    <t># Stores Relocated During Period</t>
  </si>
  <si>
    <t>Financial Fixed Assets</t>
  </si>
  <si>
    <t>Non-Comp Contribution (%)</t>
  </si>
  <si>
    <t>Restructuring Expense</t>
  </si>
  <si>
    <t>Restaurant Margin (%)</t>
  </si>
  <si>
    <t>Legal Claim Expense</t>
  </si>
  <si>
    <t>Unrealized Valuation Gain/Loss</t>
  </si>
  <si>
    <t>Income Statement (M)</t>
  </si>
  <si>
    <t>Investments</t>
  </si>
  <si>
    <t>Pretax Income</t>
  </si>
  <si>
    <t>Cost of Sales</t>
  </si>
  <si>
    <t>Income Taxes</t>
  </si>
  <si>
    <t>SG&amp;A Expense</t>
  </si>
  <si>
    <t>Income Taxes - Current Domestic</t>
  </si>
  <si>
    <t>Selling &amp; Marketing Expense</t>
  </si>
  <si>
    <t>Income Taxes - Current Foreign</t>
  </si>
  <si>
    <t>General &amp; Admin Expense</t>
  </si>
  <si>
    <t>Income Taxes - Deferred Domestic</t>
  </si>
  <si>
    <t>Compensation and Benefits</t>
  </si>
  <si>
    <t>Income Taxes - Deferred Foreign</t>
  </si>
  <si>
    <t>EBITDA</t>
  </si>
  <si>
    <t>Consolidated Net Income</t>
  </si>
  <si>
    <t>EBITDA Non-GAAP</t>
  </si>
  <si>
    <t>EBITDA GAAP</t>
  </si>
  <si>
    <t>Depr. &amp; Amort.</t>
  </si>
  <si>
    <t>Net Income</t>
  </si>
  <si>
    <t>Operating Income</t>
  </si>
  <si>
    <t>Operating Income - Non GAAP</t>
  </si>
  <si>
    <t>Operating Income - GAAP</t>
  </si>
  <si>
    <t>Net Income available to Common</t>
  </si>
  <si>
    <t>Interest Expense</t>
  </si>
  <si>
    <t>Per Share</t>
  </si>
  <si>
    <t>EPS (recurring)</t>
  </si>
  <si>
    <t>Pretax Income - Non GAAP</t>
  </si>
  <si>
    <t>EPS (basic)</t>
  </si>
  <si>
    <t>Pretax Income - GAAP</t>
  </si>
  <si>
    <t>Basic Shares Outstanding</t>
  </si>
  <si>
    <t>Tax Expense</t>
  </si>
  <si>
    <t>Total Shares Outstanding</t>
  </si>
  <si>
    <t>EPS (diluted)</t>
  </si>
  <si>
    <t>Net Income - Non GAAP</t>
  </si>
  <si>
    <t>Diluted Shares Outstanding</t>
  </si>
  <si>
    <t>Net Income - GAAP</t>
  </si>
  <si>
    <t>Earnings Persistence</t>
  </si>
  <si>
    <t>Balance Sheet (M)</t>
  </si>
  <si>
    <t>Current Assets</t>
  </si>
  <si>
    <t>EBIT</t>
  </si>
  <si>
    <t>Cash and Cash Equivalents</t>
  </si>
  <si>
    <t>Accounts Receivable</t>
  </si>
  <si>
    <t>Supplemental</t>
  </si>
  <si>
    <t>Inventories</t>
  </si>
  <si>
    <t>Rental Expense</t>
  </si>
  <si>
    <t>Current Liabilities</t>
  </si>
  <si>
    <t>Stock Option Comp Exp (Net of Tax)</t>
  </si>
  <si>
    <t>Accounts Payable</t>
  </si>
  <si>
    <t>Tax Rate</t>
  </si>
  <si>
    <t>Total Assets</t>
  </si>
  <si>
    <t>Short-Term Debt</t>
  </si>
  <si>
    <t>GAAP/IFRS Balance Sheet</t>
  </si>
  <si>
    <t>Long-Term Debt</t>
  </si>
  <si>
    <t>Total Debt</t>
  </si>
  <si>
    <t>Assets</t>
  </si>
  <si>
    <t>Total Goodwill</t>
  </si>
  <si>
    <t>Cash &amp; Short-Term Investments</t>
  </si>
  <si>
    <t>Net Debt</t>
  </si>
  <si>
    <t>Cash Only</t>
  </si>
  <si>
    <t>Working Capital</t>
  </si>
  <si>
    <t>Total Short Term Investments</t>
  </si>
  <si>
    <t>Shareholder Equity</t>
  </si>
  <si>
    <t>Short-Term Receivables</t>
  </si>
  <si>
    <t>Total Liabilities and Equity</t>
  </si>
  <si>
    <t>Accounts Receivables, Net</t>
  </si>
  <si>
    <t>Accounts Receivables, Gross</t>
  </si>
  <si>
    <t>Cash Flow (M)</t>
  </si>
  <si>
    <t>Bad Debt/Doubtful Accounts</t>
  </si>
  <si>
    <t>Other Receivables</t>
  </si>
  <si>
    <t>Capital Expenditures</t>
  </si>
  <si>
    <t>Maintenance CAPEX</t>
  </si>
  <si>
    <t>Finished Goods</t>
  </si>
  <si>
    <t>Free Cash Flow</t>
  </si>
  <si>
    <t>Other Current Assets</t>
  </si>
  <si>
    <t>Cash Flow from Operations</t>
  </si>
  <si>
    <t>Prepaid Expenses</t>
  </si>
  <si>
    <t>Cash Flow from Investing</t>
  </si>
  <si>
    <t>Miscellaneous Current Assets</t>
  </si>
  <si>
    <t>Cash Flow from Financing</t>
  </si>
  <si>
    <t>Total Current Assets</t>
  </si>
  <si>
    <t>Share Repurchase</t>
  </si>
  <si>
    <t>Total Current Assets/Total Assets</t>
  </si>
  <si>
    <t>Net Property, Plant &amp; Equipment</t>
  </si>
  <si>
    <t>Property, Plant &amp; Equipment - Gross</t>
  </si>
  <si>
    <t>Buildings</t>
  </si>
  <si>
    <t>Land &amp; Improvements</t>
  </si>
  <si>
    <t>Machinery &amp; Equipment</t>
  </si>
  <si>
    <t>Dividends per Share</t>
  </si>
  <si>
    <t>Construction in Progress</t>
  </si>
  <si>
    <t>Free Cash Flow per Share</t>
  </si>
  <si>
    <t>Other Property, Plant &amp; Equipment</t>
  </si>
  <si>
    <t>Cash Flow per Share</t>
  </si>
  <si>
    <t>Operating Lease Right-of-Use Assets</t>
  </si>
  <si>
    <t>Book Value per Share</t>
  </si>
  <si>
    <t>Accumulated Depreciation</t>
  </si>
  <si>
    <t>Book Value per Share - Tangible</t>
  </si>
  <si>
    <t xml:space="preserve">Total Long-Term Investments </t>
  </si>
  <si>
    <t>LT Investment - Affiliate Companies</t>
  </si>
  <si>
    <t>Valuation</t>
  </si>
  <si>
    <t>Other Long-Term Investments</t>
  </si>
  <si>
    <t>Intangible Assets</t>
  </si>
  <si>
    <t>Price/Earnings (x)</t>
  </si>
  <si>
    <t>Goodwill</t>
  </si>
  <si>
    <t>BV Growth (x)</t>
  </si>
  <si>
    <t>Deferred Tax Assets</t>
  </si>
  <si>
    <t>PEG Ratio (x)</t>
  </si>
  <si>
    <t>Other Assets</t>
  </si>
  <si>
    <t>PEG Ratio(Operating) (x)</t>
  </si>
  <si>
    <t>Tangible Other Assets</t>
  </si>
  <si>
    <t>PEG Ratio(Net Income) (x)</t>
  </si>
  <si>
    <t>Price/Operating Cash Flow (x)</t>
  </si>
  <si>
    <t>Price/Book Value (x)</t>
  </si>
  <si>
    <t>Liabilities &amp; Shareholders' Equity</t>
  </si>
  <si>
    <t>Price/Cash Flow (x)</t>
  </si>
  <si>
    <t>Current</t>
  </si>
  <si>
    <t>Price/Free Cash Flow (x)</t>
  </si>
  <si>
    <t>ST Debt &amp; Curr. Portion LT Debt</t>
  </si>
  <si>
    <t>Price/Sales (x)</t>
  </si>
  <si>
    <t>Enterprise Value/Sales (x)</t>
  </si>
  <si>
    <t>Income Tax Payable</t>
  </si>
  <si>
    <t>Enterprise Value/EBITDA (x)</t>
  </si>
  <si>
    <t>Other Current Liabilities</t>
  </si>
  <si>
    <t>Enterprise Value/EBIT (x)</t>
  </si>
  <si>
    <t>Accrued Payroll</t>
  </si>
  <si>
    <t>Enterprise Value/FCF (x)</t>
  </si>
  <si>
    <t>Miscellaneous Current Liabilities</t>
  </si>
  <si>
    <t>Dividend Yield (%)</t>
  </si>
  <si>
    <t>Total Current Liabilities</t>
  </si>
  <si>
    <t>Sales/Share (x)</t>
  </si>
  <si>
    <t>Return on Assets (ROA) (%)</t>
  </si>
  <si>
    <t>Total Current Liabilities/Total Assets</t>
  </si>
  <si>
    <t>Return on Equity (ROE) (%)</t>
  </si>
  <si>
    <t>Long-Term</t>
  </si>
  <si>
    <t>Operating Return on Assets (%)</t>
  </si>
  <si>
    <t>Operating Return on Shareholder's Equity (%)</t>
  </si>
  <si>
    <t>Capital and Operating Lease Obligations</t>
  </si>
  <si>
    <t>Return on Average Assets (%)</t>
  </si>
  <si>
    <t>Deferred Tax Liabilities</t>
  </si>
  <si>
    <t>Net Income Return on SH Equity (%)</t>
  </si>
  <si>
    <t>Other Liabilities</t>
  </si>
  <si>
    <t>Valuation data as of 21 Nov '25</t>
  </si>
  <si>
    <t>Other Liabilities (excl. Deferred Income)</t>
  </si>
  <si>
    <t>Enterprise Value from Factset Fundamentals</t>
  </si>
  <si>
    <t>Total Liabilities</t>
  </si>
  <si>
    <t>Total Liabilities/Total Assets</t>
  </si>
  <si>
    <t>Equity</t>
  </si>
  <si>
    <t>Common Equity</t>
  </si>
  <si>
    <t>Common Stock Par/Carry Value</t>
  </si>
  <si>
    <t>Additional Paid-In Capital/Capital Surplus</t>
  </si>
  <si>
    <t>Retained Earnings</t>
  </si>
  <si>
    <t>Cumulative Translation Adjustment/Unrealized For. Exch. Gain</t>
  </si>
  <si>
    <t>Unrealized Gain/Loss Marketable Securities</t>
  </si>
  <si>
    <t>Treasury Stock</t>
  </si>
  <si>
    <t>Total Shareholders' Equity</t>
  </si>
  <si>
    <t>Total Shareholders' Equity/Total Assets</t>
  </si>
  <si>
    <t>Total Equity</t>
  </si>
  <si>
    <t>Total Equity/Total Assets</t>
  </si>
  <si>
    <t>Total Liabilities &amp; Shareholders' Equity</t>
  </si>
  <si>
    <t>Total Liabilities &amp; Shareholders' Equity/Total Assets</t>
  </si>
  <si>
    <t>Tangible Book Value per Share</t>
  </si>
  <si>
    <t>Total Capital</t>
  </si>
  <si>
    <t>Efficiency</t>
  </si>
  <si>
    <t>Days of Inventory on Hand</t>
  </si>
  <si>
    <t>Days of Sales Outstanding</t>
  </si>
  <si>
    <t>Days of Payables Outstanding</t>
  </si>
  <si>
    <t>Stock Option Comp</t>
  </si>
  <si>
    <t>Non-Qualified Option/Warrant Awards</t>
  </si>
  <si>
    <t>Operating Lease Commitments</t>
  </si>
  <si>
    <t>Year 1</t>
  </si>
  <si>
    <t>Year 2</t>
  </si>
  <si>
    <t>Year 3</t>
  </si>
  <si>
    <t>Year 4</t>
  </si>
  <si>
    <t>Year 5</t>
  </si>
  <si>
    <t>Over 5 Years</t>
  </si>
  <si>
    <t>Long Term Debt Maturities</t>
  </si>
  <si>
    <t>Cash Flow</t>
  </si>
  <si>
    <t>GAAP/IFRS Cash Flow</t>
  </si>
  <si>
    <t>Operating Activities</t>
  </si>
  <si>
    <t>Net Income / Starting Line</t>
  </si>
  <si>
    <t>Depreciation, Depletion &amp; Amortization</t>
  </si>
  <si>
    <t>Depreciation and Depletion</t>
  </si>
  <si>
    <t>Deferred Taxes &amp; Investment Tax Credit</t>
  </si>
  <si>
    <t>Deferred Taxes</t>
  </si>
  <si>
    <t>Other Funds</t>
  </si>
  <si>
    <t>Funds from Operations</t>
  </si>
  <si>
    <t>Changes in Working Capital</t>
  </si>
  <si>
    <t>Receivables</t>
  </si>
  <si>
    <t>Other Accruals</t>
  </si>
  <si>
    <t>Other Assets/Liabilities</t>
  </si>
  <si>
    <t>Net Operating Cash Flow</t>
  </si>
  <si>
    <t>Investing Activities</t>
  </si>
  <si>
    <t>Capital Expenditures (Fixed Assets)</t>
  </si>
  <si>
    <t>Sale of Fixed Assets &amp; Businesses</t>
  </si>
  <si>
    <t>Purchase/Sale of Investments</t>
  </si>
  <si>
    <t>Purchase of Investments</t>
  </si>
  <si>
    <t>Sale/Maturity of Investments</t>
  </si>
  <si>
    <t>Net Investing Cash Flow</t>
  </si>
  <si>
    <t>Financing Activities</t>
  </si>
  <si>
    <t>Change in Capital Stock</t>
  </si>
  <si>
    <t>Repurchase of Common &amp; Preferred Stk.</t>
  </si>
  <si>
    <t>Sale of Common &amp; Preferred Stock</t>
  </si>
  <si>
    <t>Proceeds from Sale of Stock</t>
  </si>
  <si>
    <t>Other Uses</t>
  </si>
  <si>
    <t>Other Sources</t>
  </si>
  <si>
    <t>Net Financing Cash Flow</t>
  </si>
  <si>
    <t>All Activities</t>
  </si>
  <si>
    <t>Exchange Rate Effect</t>
  </si>
  <si>
    <t>Net Change in Cash</t>
  </si>
  <si>
    <t>Free Cash Flow Yield (%)</t>
  </si>
  <si>
    <t>Taxation</t>
  </si>
  <si>
    <t>All figures in millions of U.S. Dollar except per share items.</t>
  </si>
  <si>
    <t>Shake Shack, Inc. Class A (SHAK)</t>
  </si>
  <si>
    <t>Shake Shack, Inc. Class A</t>
  </si>
  <si>
    <t>SHAK-US</t>
  </si>
  <si>
    <t xml:space="preserve">SHAK   819047101   BV0LCR0   NYSE    Common stock    </t>
  </si>
  <si>
    <t>Shack</t>
  </si>
  <si>
    <t>Licensing</t>
  </si>
  <si>
    <t>Amortization of Intangibles</t>
  </si>
  <si>
    <t>Domestic</t>
  </si>
  <si>
    <t>International</t>
  </si>
  <si>
    <t>Other SG&amp;A</t>
  </si>
  <si>
    <t>Gross Interest Expense</t>
  </si>
  <si>
    <t>Interest Capitalized</t>
  </si>
  <si>
    <t>Excpl Chrgs - Others</t>
  </si>
  <si>
    <t>Other Unusual Expense</t>
  </si>
  <si>
    <t>Minority Interest</t>
  </si>
  <si>
    <t>Leases</t>
  </si>
  <si>
    <t>Computer Software and Equipment</t>
  </si>
  <si>
    <t>Other Intangible Assets</t>
  </si>
  <si>
    <t>Deferred Charges</t>
  </si>
  <si>
    <t>Long-Term Debt excl Lease Obligations</t>
  </si>
  <si>
    <t>Deferred Income</t>
  </si>
  <si>
    <t>Other Appropriated Reserves</t>
  </si>
  <si>
    <t>Accumulated Minority Interest</t>
  </si>
  <si>
    <t>Amortization of Intangible Assets</t>
  </si>
  <si>
    <t>Cash Dividends Paid</t>
  </si>
  <si>
    <t>Common Dividends</t>
  </si>
  <si>
    <t>Proceeds from Stock Options</t>
  </si>
  <si>
    <t>Issuance/Reduction of Debt, Net</t>
  </si>
  <si>
    <t>Change in Long-Term Debt</t>
  </si>
  <si>
    <t>Issuance of Long-Term Debt</t>
  </si>
  <si>
    <t>Reduction in Long-Term Debt</t>
  </si>
  <si>
    <t>Interest Paid</t>
  </si>
  <si>
    <t>Wingstop, Inc. (WING)</t>
  </si>
  <si>
    <t>Wingstop, Inc.</t>
  </si>
  <si>
    <t>WING-US</t>
  </si>
  <si>
    <t xml:space="preserve">WING   974155103   BYYXHN4   NASDAQ    Common stock    </t>
  </si>
  <si>
    <t>Royalty and Franchise Fees</t>
  </si>
  <si>
    <t>Company-Owned Restaurant</t>
  </si>
  <si>
    <t>Advertising Fees and Related Income</t>
  </si>
  <si>
    <t>Company-Owned SSS_Dom</t>
  </si>
  <si>
    <t>Franchise SSS_Dom</t>
  </si>
  <si>
    <t>Customer Relationship Subscribers (thousands)</t>
  </si>
  <si>
    <t>Restructuring of Debt</t>
  </si>
  <si>
    <t>Payout Ratio</t>
  </si>
  <si>
    <t>Net Assets from Acquisitions</t>
  </si>
  <si>
    <t>Yum! Brands, Inc. (YUM)</t>
  </si>
  <si>
    <t>Yum! Brands, Inc.</t>
  </si>
  <si>
    <t>YUM-US</t>
  </si>
  <si>
    <t xml:space="preserve">YUM   988498101   2098876   NYSE    Common stock    </t>
  </si>
  <si>
    <t>Sales - Product Line 1</t>
  </si>
  <si>
    <t>Company</t>
  </si>
  <si>
    <t>- KFC Company</t>
  </si>
  <si>
    <t>- Pizza Hut Company</t>
  </si>
  <si>
    <t>- Taco Bell Company</t>
  </si>
  <si>
    <t>- Habit Company</t>
  </si>
  <si>
    <t>Franchise and Property</t>
  </si>
  <si>
    <t>Franchise Contributions for Advertising and Other Services</t>
  </si>
  <si>
    <t>Sales - Product Line 2</t>
  </si>
  <si>
    <t>KFC</t>
  </si>
  <si>
    <t>Pizza Hut</t>
  </si>
  <si>
    <t>Research &amp; Development</t>
  </si>
  <si>
    <t>Taco Bell</t>
  </si>
  <si>
    <t>Habit</t>
  </si>
  <si>
    <t>Other Operating Expense</t>
  </si>
  <si>
    <t>Restaurant Margin KFC</t>
  </si>
  <si>
    <t>Restaurant Margin PIZZA HUT</t>
  </si>
  <si>
    <t>Restaurant Margin TACO BELL</t>
  </si>
  <si>
    <t>Other Intangibles</t>
  </si>
  <si>
    <t>Exceptional Provisions</t>
  </si>
  <si>
    <t>Constant Currency Revenue Growth (%)</t>
  </si>
  <si>
    <t>Discontinued Operations</t>
  </si>
  <si>
    <t>Foreign Currency Translation Gains/Losses</t>
  </si>
  <si>
    <t>Progress Payments &amp; Other</t>
  </si>
  <si>
    <t>Long-Term Note Receivable</t>
  </si>
  <si>
    <t>Dividends Payable</t>
  </si>
  <si>
    <t>Comprehensive Income</t>
  </si>
  <si>
    <t>Comprehensive Income - Pension Liability</t>
  </si>
  <si>
    <t>Comprehensive Income - Hedging Gain/Loss</t>
  </si>
  <si>
    <t>Income Taxes Payable</t>
  </si>
  <si>
    <t>Change in Current Debt</t>
  </si>
  <si>
    <t>Purpose: To break down each company’s ROE into Net Margin, Asset Turnover, and Equity Multiplier to understand what is driving performance over time.</t>
  </si>
  <si>
    <t>CMG</t>
  </si>
  <si>
    <t>Year</t>
  </si>
  <si>
    <t>Net Margin</t>
  </si>
  <si>
    <t>Asset Turnover</t>
  </si>
  <si>
    <t xml:space="preserve">Equity Multiplier </t>
  </si>
  <si>
    <t>ROE</t>
  </si>
  <si>
    <t>Revenue</t>
  </si>
  <si>
    <t>x14</t>
  </si>
  <si>
    <t>x46</t>
  </si>
  <si>
    <t>x104</t>
  </si>
  <si>
    <t>x137</t>
  </si>
  <si>
    <t>SHAK</t>
  </si>
  <si>
    <t>x228</t>
  </si>
  <si>
    <t>x268</t>
  </si>
  <si>
    <t>x327</t>
  </si>
  <si>
    <t>x362</t>
  </si>
  <si>
    <t>WING</t>
  </si>
  <si>
    <t>x460</t>
  </si>
  <si>
    <t>x495</t>
  </si>
  <si>
    <t>x554</t>
  </si>
  <si>
    <t>x587</t>
  </si>
  <si>
    <t>YUM</t>
  </si>
  <si>
    <t>x685</t>
  </si>
  <si>
    <t>x727</t>
  </si>
  <si>
    <t>x790</t>
  </si>
  <si>
    <t>x824</t>
  </si>
  <si>
    <t xml:space="preserve">Concluding Statement: CMG shows the strongest and most consistent ROE drivers. SHAK’s weaker margins limit its ROE, while WING and YUM have negative equity that makes ROE less meaningful. </t>
  </si>
  <si>
    <r>
      <rPr>
        <sz val="11"/>
        <color rgb="FF000000"/>
        <rFont val="Aptos Narrow"/>
        <scheme val="minor"/>
      </rPr>
      <t xml:space="preserve">   </t>
    </r>
    <r>
      <rPr>
        <b/>
        <sz val="11"/>
        <color rgb="FF000000"/>
        <rFont val="Aptos Narrow"/>
        <scheme val="minor"/>
      </rPr>
      <t>Overall, CMG demonstrates the healthiest financial performance.</t>
    </r>
  </si>
  <si>
    <t>Purpose: To evaluate each company’s liquidity, leverage, efficiency, and profitability using key financial ratios in order to compare performance trends across CMG, SHAK, WING, and YUM.</t>
  </si>
  <si>
    <t>Gross Margin</t>
  </si>
  <si>
    <t>Inventory Turnover</t>
  </si>
  <si>
    <t>Current Ratio</t>
  </si>
  <si>
    <t>Debt-to-Equity Ratio</t>
  </si>
  <si>
    <t>Inventory</t>
  </si>
  <si>
    <t>x79</t>
  </si>
  <si>
    <t>Gross Profit</t>
  </si>
  <si>
    <t>x20</t>
  </si>
  <si>
    <t>x84</t>
  </si>
  <si>
    <t>x114</t>
  </si>
  <si>
    <t>x123</t>
  </si>
  <si>
    <t>COGS</t>
  </si>
  <si>
    <t>x16</t>
  </si>
  <si>
    <t>x301</t>
  </si>
  <si>
    <t>x235</t>
  </si>
  <si>
    <t>x306</t>
  </si>
  <si>
    <t>x337</t>
  </si>
  <si>
    <t>x348</t>
  </si>
  <si>
    <t>x230</t>
  </si>
  <si>
    <t>x529</t>
  </si>
  <si>
    <t>x467</t>
  </si>
  <si>
    <t>x533</t>
  </si>
  <si>
    <t>x564</t>
  </si>
  <si>
    <t>x575</t>
  </si>
  <si>
    <t>x462</t>
  </si>
  <si>
    <t>x764</t>
  </si>
  <si>
    <t>x692</t>
  </si>
  <si>
    <t>x769</t>
  </si>
  <si>
    <t>x801</t>
  </si>
  <si>
    <t>x811</t>
  </si>
  <si>
    <t>x687</t>
  </si>
  <si>
    <t>Conclusion Statement: CMG shows the strongest ratios. SHAK has weak margins, and WING and YUM’s negative equity makes certain ratios unreliable. Overall, CMG performs the best.</t>
  </si>
  <si>
    <t xml:space="preserve">    </t>
  </si>
  <si>
    <t>Purpose: To compare CMG’s valuation multiples to competitors and see if CMG trades at a premium or discount.</t>
  </si>
  <si>
    <t>Price</t>
  </si>
  <si>
    <t>Forward EPS</t>
  </si>
  <si>
    <t>Forward P/E</t>
  </si>
  <si>
    <t>Sales per Share</t>
  </si>
  <si>
    <t>P/S</t>
  </si>
  <si>
    <t>P/B</t>
  </si>
  <si>
    <t>N/A</t>
  </si>
  <si>
    <t>Averages of Competitors (SHAK, WING, YUM)</t>
  </si>
  <si>
    <t>Peer Average Forward P/E</t>
  </si>
  <si>
    <t>Peer Average Forward P/S</t>
  </si>
  <si>
    <t>Peer Average Forward P/B</t>
  </si>
  <si>
    <t>Note: This only includes one competitor</t>
  </si>
  <si>
    <t>Conclusion Statement: CMG trades below the peer averages, suggesting it may be undervalued compared to its competitors.</t>
  </si>
  <si>
    <t>Purpose: To estimate CMG’s intrinsic value using peer valuation multiples (P/E, P/S, and P/B) and compare it to the current share price.</t>
  </si>
  <si>
    <t>Forward P/E Valuation Method</t>
  </si>
  <si>
    <t>Value</t>
  </si>
  <si>
    <t>x</t>
  </si>
  <si>
    <t>Peer Avg P/E</t>
  </si>
  <si>
    <t>=</t>
  </si>
  <si>
    <t>Forward P/S Valuation Method</t>
  </si>
  <si>
    <t>Peer P/E</t>
  </si>
  <si>
    <t>Peer Avg P/S</t>
  </si>
  <si>
    <t>Peer P/S</t>
  </si>
  <si>
    <t>Peer P/B</t>
  </si>
  <si>
    <t>Forward P/B Valuation Method</t>
  </si>
  <si>
    <t>Peer Avg P/B</t>
  </si>
  <si>
    <t>Intrinsic Value</t>
  </si>
  <si>
    <t>Average of Valuations</t>
  </si>
  <si>
    <t>Average excluding P/B</t>
  </si>
  <si>
    <t>Current Share Price</t>
  </si>
  <si>
    <t>Low Range of Upside</t>
  </si>
  <si>
    <t>High Range of Upside</t>
  </si>
  <si>
    <t>Conclusion Statement: The valuation results show CMG’s estimated value is above its current price, suggesting the stock is undervalued and supports a BUY recommendation.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</si>
</sst>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0.000000"/>
    <numFmt numFmtId="165" formatCode="#,##0.000000"/>
    <numFmt numFmtId="166" formatCode="#,##0.000000000"/>
  </numFmts>
  <fonts count="12" x14ac:knownFonts="1">
    <font>
      <sz val="11"/>
      <color theme="1"/>
      <name val="Aptos Narrow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3366"/>
      <name val="Arial"/>
      <family val="2"/>
    </font>
    <font>
      <sz val="10"/>
      <color rgb="FFFF0000"/>
      <name val="Arial"/>
      <family val="2"/>
    </font>
    <font>
      <sz val="10"/>
      <color rgb="FF646464"/>
      <name val="Arial"/>
      <family val="2"/>
    </font>
    <font>
      <sz val="10"/>
      <color rgb="FF000000"/>
      <name val="Arial"/>
      <family val="2"/>
    </font>
    <font>
      <b/>
      <sz val="10"/>
      <color rgb="FF003366"/>
      <name val="Arial"/>
      <family val="2"/>
    </font>
    <font>
      <sz val="10"/>
      <color rgb="FFFF0000"/>
      <name val="Arial"/>
      <family val="2"/>
    </font>
    <font>
      <sz val="10"/>
      <color rgb="FF646464"/>
      <name val="Arial"/>
      <family val="2"/>
    </font>
    <font>
      <b/>
      <sz val="11"/>
      <color rgb="FF000000"/>
      <name val="Aptos Narrow"/>
      <scheme val="minor"/>
    </font>
    <font>
      <sz val="11"/>
      <color rgb="FF000000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rgb="FF000000"/>
      </patternFill>
    </fill>
    <fill>
      <patternFill patternType="solid">
        <fgColor rgb="FFF0F0F0"/>
        <bgColor rgb="FF000000"/>
      </patternFill>
    </fill>
  </fills>
  <borders count="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2" fillId="0" borderId="0" xfId="0" applyFont="1"/>
    <xf numFmtId="8" fontId="2" fillId="0" borderId="1" xfId="0" applyNumberFormat="1" applyFont="1" applyBorder="1"/>
    <xf numFmtId="0" fontId="2" fillId="0" borderId="2" xfId="0" applyFont="1" applyBorder="1"/>
    <xf numFmtId="0" fontId="1" fillId="2" borderId="0" xfId="0" applyFont="1" applyFill="1"/>
    <xf numFmtId="0" fontId="2" fillId="3" borderId="0" xfId="0" applyFont="1" applyFill="1"/>
    <xf numFmtId="0" fontId="3" fillId="3" borderId="0" xfId="0" applyFont="1" applyFill="1"/>
    <xf numFmtId="4" fontId="3" fillId="3" borderId="0" xfId="0" applyNumberFormat="1" applyFont="1" applyFill="1"/>
    <xf numFmtId="0" fontId="4" fillId="0" borderId="0" xfId="0" applyFont="1"/>
    <xf numFmtId="4" fontId="2" fillId="0" borderId="0" xfId="0" applyNumberFormat="1" applyFont="1"/>
    <xf numFmtId="0" fontId="3" fillId="0" borderId="0" xfId="0" applyFont="1"/>
    <xf numFmtId="4" fontId="3" fillId="0" borderId="0" xfId="0" applyNumberFormat="1" applyFont="1"/>
    <xf numFmtId="0" fontId="4" fillId="3" borderId="0" xfId="0" applyFont="1" applyFill="1"/>
    <xf numFmtId="0" fontId="3" fillId="3" borderId="0" xfId="0" quotePrefix="1" applyFont="1" applyFill="1"/>
    <xf numFmtId="0" fontId="2" fillId="0" borderId="0" xfId="0" quotePrefix="1" applyFont="1"/>
    <xf numFmtId="0" fontId="2" fillId="3" borderId="0" xfId="0" quotePrefix="1" applyFont="1" applyFill="1"/>
    <xf numFmtId="0" fontId="3" fillId="0" borderId="0" xfId="0" quotePrefix="1" applyFont="1"/>
    <xf numFmtId="4" fontId="2" fillId="3" borderId="0" xfId="0" applyNumberFormat="1" applyFont="1" applyFill="1"/>
    <xf numFmtId="3" fontId="3" fillId="0" borderId="0" xfId="0" applyNumberFormat="1" applyFont="1"/>
    <xf numFmtId="3" fontId="3" fillId="3" borderId="0" xfId="0" applyNumberFormat="1" applyFont="1" applyFill="1"/>
    <xf numFmtId="3" fontId="2" fillId="0" borderId="0" xfId="0" applyNumberFormat="1" applyFont="1"/>
    <xf numFmtId="3" fontId="2" fillId="3" borderId="0" xfId="0" applyNumberFormat="1" applyFont="1" applyFill="1"/>
    <xf numFmtId="3" fontId="4" fillId="0" borderId="0" xfId="0" applyNumberFormat="1" applyFont="1"/>
    <xf numFmtId="4" fontId="4" fillId="3" borderId="0" xfId="0" applyNumberFormat="1" applyFont="1" applyFill="1"/>
    <xf numFmtId="0" fontId="5" fillId="0" borderId="0" xfId="0" applyFont="1"/>
    <xf numFmtId="3" fontId="4" fillId="3" borderId="0" xfId="0" applyNumberFormat="1" applyFont="1" applyFill="1"/>
    <xf numFmtId="4" fontId="4" fillId="0" borderId="0" xfId="0" applyNumberFormat="1" applyFont="1"/>
    <xf numFmtId="10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0" fontId="7" fillId="2" borderId="0" xfId="0" applyFont="1" applyFill="1"/>
    <xf numFmtId="0" fontId="6" fillId="3" borderId="0" xfId="0" applyFont="1" applyFill="1"/>
    <xf numFmtId="0" fontId="8" fillId="3" borderId="0" xfId="0" applyFont="1" applyFill="1"/>
    <xf numFmtId="0" fontId="9" fillId="0" borderId="0" xfId="0" applyFont="1"/>
    <xf numFmtId="0" fontId="6" fillId="0" borderId="0" xfId="0" quotePrefix="1" applyFont="1"/>
    <xf numFmtId="0" fontId="6" fillId="3" borderId="0" xfId="0" quotePrefix="1" applyFont="1" applyFill="1"/>
    <xf numFmtId="0" fontId="8" fillId="0" borderId="0" xfId="0" applyFont="1"/>
    <xf numFmtId="8" fontId="0" fillId="0" borderId="0" xfId="0" applyNumberFormat="1"/>
    <xf numFmtId="0" fontId="7" fillId="3" borderId="0" xfId="0" applyFont="1" applyFill="1"/>
    <xf numFmtId="3" fontId="7" fillId="3" borderId="0" xfId="0" applyNumberFormat="1" applyFont="1" applyFill="1"/>
    <xf numFmtId="3" fontId="6" fillId="0" borderId="0" xfId="0" applyNumberFormat="1" applyFont="1"/>
    <xf numFmtId="3" fontId="6" fillId="3" borderId="0" xfId="0" applyNumberFormat="1" applyFont="1" applyFill="1"/>
    <xf numFmtId="0" fontId="7" fillId="0" borderId="0" xfId="0" applyFont="1"/>
    <xf numFmtId="3" fontId="7" fillId="0" borderId="0" xfId="0" applyNumberFormat="1" applyFont="1"/>
    <xf numFmtId="0" fontId="7" fillId="3" borderId="0" xfId="0" quotePrefix="1" applyFont="1" applyFill="1"/>
    <xf numFmtId="4" fontId="6" fillId="0" borderId="0" xfId="0" applyNumberFormat="1" applyFont="1"/>
    <xf numFmtId="4" fontId="6" fillId="3" borderId="0" xfId="0" applyNumberFormat="1" applyFont="1" applyFill="1"/>
    <xf numFmtId="3" fontId="8" fillId="0" borderId="0" xfId="0" applyNumberFormat="1" applyFont="1"/>
    <xf numFmtId="0" fontId="10" fillId="0" borderId="0" xfId="0" applyFont="1"/>
    <xf numFmtId="10" fontId="11" fillId="0" borderId="0" xfId="0" applyNumberFormat="1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914"/>
  <sheetViews>
    <sheetView tabSelected="1" workbookViewId="0">
      <selection activeCell="X8" sqref="X8"/>
    </sheetView>
  </sheetViews>
  <sheetFormatPr baseColWidth="10" defaultColWidth="8.83203125" defaultRowHeight="15" x14ac:dyDescent="0.2"/>
  <cols>
    <col min="1" max="1" width="54.1640625" bestFit="1" customWidth="1"/>
    <col min="2" max="2" width="12" bestFit="1" customWidth="1"/>
    <col min="3" max="4" width="8.5" bestFit="1" customWidth="1"/>
    <col min="12" max="12" width="14.83203125" bestFit="1" customWidth="1"/>
    <col min="23" max="23" width="40" bestFit="1" customWidth="1"/>
  </cols>
  <sheetData>
    <row r="1" spans="1:29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9" x14ac:dyDescent="0.2">
      <c r="A2" s="3">
        <v>31.63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9" x14ac:dyDescent="0.2">
      <c r="A3" s="2" t="s">
        <v>1</v>
      </c>
      <c r="B3" s="4" t="s">
        <v>1</v>
      </c>
      <c r="C3" s="4" t="s">
        <v>1</v>
      </c>
      <c r="D3" s="4" t="s">
        <v>1</v>
      </c>
      <c r="E3" s="4" t="s">
        <v>1</v>
      </c>
      <c r="F3" s="4" t="s">
        <v>1</v>
      </c>
      <c r="G3" s="4" t="s">
        <v>1</v>
      </c>
      <c r="H3" s="4" t="s">
        <v>1</v>
      </c>
      <c r="I3" s="4" t="s">
        <v>1</v>
      </c>
      <c r="J3" s="4" t="s">
        <v>1</v>
      </c>
      <c r="K3" s="4" t="s">
        <v>1</v>
      </c>
      <c r="L3" s="4" t="s">
        <v>1</v>
      </c>
      <c r="M3" s="4" t="s">
        <v>1</v>
      </c>
      <c r="N3" s="4" t="s">
        <v>1</v>
      </c>
      <c r="O3" s="4" t="s">
        <v>1</v>
      </c>
      <c r="P3" s="4" t="s">
        <v>1</v>
      </c>
      <c r="Q3" s="4" t="s">
        <v>1</v>
      </c>
      <c r="R3" s="4" t="s">
        <v>1</v>
      </c>
      <c r="S3" s="4" t="s">
        <v>1</v>
      </c>
      <c r="T3" s="4" t="s">
        <v>1</v>
      </c>
      <c r="U3" s="4" t="s">
        <v>1</v>
      </c>
    </row>
    <row r="4" spans="1:29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9" x14ac:dyDescent="0.2">
      <c r="A5" s="5" t="s">
        <v>2</v>
      </c>
      <c r="B5" s="5" t="s">
        <v>1</v>
      </c>
      <c r="C5" s="5" t="s">
        <v>1</v>
      </c>
      <c r="D5" s="5" t="s">
        <v>1</v>
      </c>
      <c r="E5" s="5" t="s">
        <v>1</v>
      </c>
      <c r="F5" s="5" t="s">
        <v>1</v>
      </c>
      <c r="G5" s="5" t="s">
        <v>1</v>
      </c>
      <c r="H5" s="5" t="s">
        <v>1</v>
      </c>
      <c r="I5" s="5" t="s">
        <v>1</v>
      </c>
      <c r="J5" s="5" t="s">
        <v>1</v>
      </c>
      <c r="K5" s="5" t="s">
        <v>1</v>
      </c>
      <c r="L5" s="5" t="s">
        <v>1</v>
      </c>
      <c r="M5" s="5" t="s">
        <v>1</v>
      </c>
      <c r="N5" s="5" t="s">
        <v>1</v>
      </c>
      <c r="O5" s="5" t="s">
        <v>1</v>
      </c>
      <c r="P5" s="5" t="s">
        <v>1</v>
      </c>
      <c r="Q5" s="5" t="s">
        <v>1</v>
      </c>
      <c r="R5" s="5" t="s">
        <v>1</v>
      </c>
      <c r="S5" s="5" t="s">
        <v>1</v>
      </c>
      <c r="T5" s="5" t="s">
        <v>1</v>
      </c>
      <c r="U5" s="5" t="s">
        <v>1</v>
      </c>
      <c r="W5" s="33" t="s">
        <v>3</v>
      </c>
      <c r="X5" s="33"/>
      <c r="Y5" s="33"/>
      <c r="Z5" s="33"/>
      <c r="AA5" s="33"/>
      <c r="AB5" s="33"/>
      <c r="AC5" s="33"/>
    </row>
    <row r="6" spans="1:29" x14ac:dyDescent="0.2">
      <c r="A6" s="5" t="s">
        <v>4</v>
      </c>
      <c r="B6" s="5" t="s">
        <v>1</v>
      </c>
      <c r="C6" s="5" t="s">
        <v>1</v>
      </c>
      <c r="D6" s="5" t="s">
        <v>1</v>
      </c>
      <c r="E6" s="5" t="s">
        <v>1</v>
      </c>
      <c r="F6" s="5" t="s">
        <v>1</v>
      </c>
      <c r="G6" s="5" t="s">
        <v>1</v>
      </c>
      <c r="H6" s="5" t="s">
        <v>1</v>
      </c>
      <c r="I6" s="5" t="s">
        <v>1</v>
      </c>
      <c r="J6" s="5" t="s">
        <v>1</v>
      </c>
      <c r="K6" s="5" t="s">
        <v>1</v>
      </c>
      <c r="L6" s="5" t="s">
        <v>1</v>
      </c>
      <c r="M6" s="5" t="s">
        <v>1</v>
      </c>
      <c r="N6" s="5" t="s">
        <v>1</v>
      </c>
      <c r="O6" s="5" t="s">
        <v>1</v>
      </c>
      <c r="P6" s="5" t="s">
        <v>1</v>
      </c>
      <c r="Q6" s="5" t="s">
        <v>1</v>
      </c>
      <c r="R6" s="5" t="s">
        <v>1</v>
      </c>
      <c r="S6" s="5" t="s">
        <v>1</v>
      </c>
      <c r="T6" s="5" t="s">
        <v>1</v>
      </c>
      <c r="U6" s="5" t="s">
        <v>1</v>
      </c>
      <c r="W6" s="33" t="s">
        <v>5</v>
      </c>
      <c r="X6" s="33"/>
      <c r="Y6" s="33"/>
      <c r="Z6" s="33"/>
      <c r="AA6" s="33"/>
      <c r="AB6" s="33"/>
      <c r="AC6" s="33"/>
    </row>
    <row r="7" spans="1:29" x14ac:dyDescent="0.2">
      <c r="A7" s="5" t="s">
        <v>6</v>
      </c>
      <c r="B7" s="5" t="s">
        <v>1</v>
      </c>
      <c r="C7" s="5" t="s">
        <v>1</v>
      </c>
      <c r="D7" s="5" t="s">
        <v>1</v>
      </c>
      <c r="E7" s="5" t="s">
        <v>1</v>
      </c>
      <c r="F7" s="5" t="s">
        <v>1</v>
      </c>
      <c r="G7" s="5" t="s">
        <v>1</v>
      </c>
      <c r="H7" s="5" t="s">
        <v>1</v>
      </c>
      <c r="I7" s="5" t="s">
        <v>1</v>
      </c>
      <c r="J7" s="5" t="s">
        <v>1</v>
      </c>
      <c r="K7" s="5" t="s">
        <v>1</v>
      </c>
      <c r="L7" s="5" t="s">
        <v>1</v>
      </c>
      <c r="M7" s="5" t="s">
        <v>1</v>
      </c>
      <c r="N7" s="5" t="s">
        <v>1</v>
      </c>
      <c r="O7" s="5" t="s">
        <v>1</v>
      </c>
      <c r="P7" s="5" t="s">
        <v>1</v>
      </c>
      <c r="Q7" s="5" t="s">
        <v>1</v>
      </c>
      <c r="R7" s="5" t="s">
        <v>1</v>
      </c>
      <c r="S7" s="5" t="s">
        <v>1</v>
      </c>
      <c r="T7" s="5" t="s">
        <v>1</v>
      </c>
      <c r="U7" s="5" t="s">
        <v>1</v>
      </c>
      <c r="W7" s="34" t="s">
        <v>1</v>
      </c>
      <c r="X7" s="34" t="s">
        <v>7</v>
      </c>
    </row>
    <row r="8" spans="1:29" x14ac:dyDescent="0.2">
      <c r="A8" s="5" t="s">
        <v>1</v>
      </c>
      <c r="B8" s="5" t="s">
        <v>8</v>
      </c>
      <c r="C8" s="5" t="s">
        <v>1</v>
      </c>
      <c r="D8" s="5" t="s">
        <v>1</v>
      </c>
      <c r="E8" s="5" t="s">
        <v>1</v>
      </c>
      <c r="F8" s="5" t="s">
        <v>1</v>
      </c>
      <c r="G8" s="5" t="s">
        <v>1</v>
      </c>
      <c r="H8" s="5" t="s">
        <v>1</v>
      </c>
      <c r="I8" s="5" t="s">
        <v>1</v>
      </c>
      <c r="J8" s="5" t="s">
        <v>1</v>
      </c>
      <c r="K8" s="5" t="s">
        <v>1</v>
      </c>
      <c r="L8" s="5" t="s">
        <v>9</v>
      </c>
      <c r="M8" s="5" t="s">
        <v>1</v>
      </c>
      <c r="N8" s="5" t="s">
        <v>1</v>
      </c>
      <c r="O8" s="5" t="s">
        <v>1</v>
      </c>
      <c r="P8" s="5" t="s">
        <v>1</v>
      </c>
      <c r="Q8" s="5" t="s">
        <v>1</v>
      </c>
      <c r="R8" s="5" t="s">
        <v>1</v>
      </c>
      <c r="S8" s="5" t="s">
        <v>1</v>
      </c>
      <c r="T8" s="5" t="s">
        <v>1</v>
      </c>
      <c r="U8" s="5" t="s">
        <v>1</v>
      </c>
      <c r="W8" s="35" t="s">
        <v>10</v>
      </c>
      <c r="X8" s="35">
        <v>1.1599999999999999</v>
      </c>
    </row>
    <row r="9" spans="1:29" x14ac:dyDescent="0.2">
      <c r="A9" s="5" t="s">
        <v>1</v>
      </c>
      <c r="B9" s="5" t="s">
        <v>11</v>
      </c>
      <c r="C9" s="5" t="s">
        <v>12</v>
      </c>
      <c r="D9" s="5" t="s">
        <v>13</v>
      </c>
      <c r="E9" s="5" t="s">
        <v>14</v>
      </c>
      <c r="F9" s="5" t="s">
        <v>15</v>
      </c>
      <c r="G9" s="5" t="s">
        <v>16</v>
      </c>
      <c r="H9" s="5" t="s">
        <v>17</v>
      </c>
      <c r="I9" s="5" t="s">
        <v>18</v>
      </c>
      <c r="J9" s="5" t="s">
        <v>19</v>
      </c>
      <c r="K9" s="5" t="s">
        <v>20</v>
      </c>
      <c r="L9" s="5" t="s">
        <v>21</v>
      </c>
      <c r="M9" s="5" t="s">
        <v>22</v>
      </c>
      <c r="N9" s="5" t="s">
        <v>23</v>
      </c>
      <c r="O9" s="5" t="s">
        <v>11</v>
      </c>
      <c r="P9" s="5" t="s">
        <v>24</v>
      </c>
      <c r="Q9" s="5" t="s">
        <v>25</v>
      </c>
      <c r="R9" s="5" t="s">
        <v>26</v>
      </c>
      <c r="S9" s="5" t="s">
        <v>12</v>
      </c>
      <c r="T9" s="5" t="s">
        <v>27</v>
      </c>
      <c r="U9" s="5" t="s">
        <v>28</v>
      </c>
      <c r="W9" s="33" t="s">
        <v>29</v>
      </c>
      <c r="X9" s="33">
        <v>1.1399999999999999</v>
      </c>
    </row>
    <row r="10" spans="1:29" x14ac:dyDescent="0.2">
      <c r="A10" s="5" t="s">
        <v>1</v>
      </c>
      <c r="B10" s="5" t="s">
        <v>1</v>
      </c>
      <c r="C10" s="5" t="s">
        <v>1</v>
      </c>
      <c r="D10" s="5" t="s">
        <v>1</v>
      </c>
      <c r="E10" s="5" t="s">
        <v>1</v>
      </c>
      <c r="F10" s="5" t="s">
        <v>1</v>
      </c>
      <c r="G10" s="5" t="s">
        <v>1</v>
      </c>
      <c r="H10" s="5" t="s">
        <v>1</v>
      </c>
      <c r="I10" s="5" t="s">
        <v>30</v>
      </c>
      <c r="J10" s="5" t="s">
        <v>1</v>
      </c>
      <c r="K10" s="5" t="s">
        <v>1</v>
      </c>
      <c r="L10" s="5" t="s">
        <v>1</v>
      </c>
      <c r="M10" s="5" t="s">
        <v>1</v>
      </c>
      <c r="N10" s="5" t="s">
        <v>1</v>
      </c>
      <c r="O10" s="5" t="s">
        <v>1</v>
      </c>
      <c r="P10" s="5" t="s">
        <v>1</v>
      </c>
      <c r="Q10" s="5" t="s">
        <v>1</v>
      </c>
      <c r="R10" s="5" t="s">
        <v>1</v>
      </c>
      <c r="S10" s="5" t="s">
        <v>1</v>
      </c>
      <c r="T10" s="5" t="s">
        <v>1</v>
      </c>
      <c r="U10" s="5" t="s">
        <v>1</v>
      </c>
      <c r="W10" s="35" t="s">
        <v>31</v>
      </c>
      <c r="X10" s="35">
        <v>1.1599999999999999</v>
      </c>
    </row>
    <row r="11" spans="1:29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W11" s="33"/>
      <c r="X11" s="33"/>
    </row>
    <row r="12" spans="1:29" x14ac:dyDescent="0.2">
      <c r="A12" s="6" t="s">
        <v>32</v>
      </c>
      <c r="B12" s="6" t="s">
        <v>1</v>
      </c>
      <c r="C12" s="6" t="s">
        <v>1</v>
      </c>
      <c r="D12" s="6" t="s">
        <v>1</v>
      </c>
      <c r="E12" s="6" t="s">
        <v>1</v>
      </c>
      <c r="F12" s="6" t="s">
        <v>1</v>
      </c>
      <c r="G12" s="6" t="s">
        <v>1</v>
      </c>
      <c r="H12" s="6" t="s">
        <v>1</v>
      </c>
      <c r="I12" s="6" t="s">
        <v>1</v>
      </c>
      <c r="J12" s="6" t="s">
        <v>1</v>
      </c>
      <c r="K12" s="6" t="s">
        <v>1</v>
      </c>
      <c r="L12" s="6" t="s">
        <v>1</v>
      </c>
      <c r="M12" s="6" t="s">
        <v>1</v>
      </c>
      <c r="N12" s="6" t="s">
        <v>1</v>
      </c>
      <c r="O12" s="6" t="s">
        <v>1</v>
      </c>
      <c r="P12" s="6" t="s">
        <v>1</v>
      </c>
      <c r="Q12" s="6" t="s">
        <v>1</v>
      </c>
      <c r="R12" s="6" t="s">
        <v>1</v>
      </c>
      <c r="S12" s="6" t="s">
        <v>1</v>
      </c>
      <c r="T12" s="6" t="s">
        <v>1</v>
      </c>
      <c r="U12" s="6" t="s">
        <v>1</v>
      </c>
      <c r="W12" s="33" t="s">
        <v>33</v>
      </c>
      <c r="X12" s="33"/>
    </row>
    <row r="13" spans="1:29" x14ac:dyDescent="0.2">
      <c r="A13" s="2" t="s">
        <v>32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W13" s="34" t="s">
        <v>1</v>
      </c>
      <c r="X13" s="34" t="s">
        <v>7</v>
      </c>
    </row>
    <row r="14" spans="1:29" x14ac:dyDescent="0.2">
      <c r="A14" s="7" t="s">
        <v>34</v>
      </c>
      <c r="B14" s="8">
        <v>11313.9</v>
      </c>
      <c r="C14" s="8">
        <v>9871.6</v>
      </c>
      <c r="D14" s="8">
        <v>8634.7000000000007</v>
      </c>
      <c r="E14" s="8">
        <v>7547.1</v>
      </c>
      <c r="F14" s="8">
        <v>5984.6</v>
      </c>
      <c r="G14" s="8">
        <v>5586.4</v>
      </c>
      <c r="H14" s="8">
        <v>4865</v>
      </c>
      <c r="I14" s="8">
        <v>4476.3999999999996</v>
      </c>
      <c r="J14" s="8">
        <v>3904.4</v>
      </c>
      <c r="K14" s="8">
        <v>4501.2</v>
      </c>
      <c r="L14" s="8">
        <v>3003.4</v>
      </c>
      <c r="M14" s="8">
        <v>3063.4</v>
      </c>
      <c r="N14" s="8">
        <v>2875.3</v>
      </c>
      <c r="O14" s="8">
        <v>2845.3</v>
      </c>
      <c r="P14" s="8">
        <v>2793.6</v>
      </c>
      <c r="Q14" s="8">
        <v>2973.1</v>
      </c>
      <c r="R14" s="8">
        <v>2701.8</v>
      </c>
      <c r="S14" s="8">
        <v>2516.3000000000002</v>
      </c>
      <c r="T14" s="8">
        <v>2471.9</v>
      </c>
      <c r="U14" s="8">
        <v>2514.8000000000002</v>
      </c>
      <c r="W14" s="42" t="s">
        <v>34</v>
      </c>
      <c r="X14" s="43">
        <v>11904</v>
      </c>
    </row>
    <row r="15" spans="1:29" x14ac:dyDescent="0.2">
      <c r="A15" s="2" t="s">
        <v>35</v>
      </c>
      <c r="B15" s="2">
        <v>14.61</v>
      </c>
      <c r="C15" s="2">
        <v>14.33</v>
      </c>
      <c r="D15" s="2">
        <v>14.41</v>
      </c>
      <c r="E15" s="2">
        <v>26.11</v>
      </c>
      <c r="F15" s="2">
        <v>7.13</v>
      </c>
      <c r="G15" s="2">
        <v>14.83</v>
      </c>
      <c r="H15" s="2">
        <v>8.68</v>
      </c>
      <c r="I15" s="2">
        <v>14.65</v>
      </c>
      <c r="J15" s="9">
        <v>-13.26</v>
      </c>
      <c r="K15" s="2">
        <v>9.56</v>
      </c>
      <c r="L15" s="2">
        <v>7.51</v>
      </c>
      <c r="M15" s="2">
        <v>3.04</v>
      </c>
      <c r="N15" s="2">
        <v>6.42</v>
      </c>
      <c r="O15" s="2">
        <v>13.07</v>
      </c>
      <c r="P15" s="2">
        <v>13.01</v>
      </c>
      <c r="Q15" s="2">
        <v>18.22</v>
      </c>
      <c r="R15" s="2">
        <v>14.07</v>
      </c>
      <c r="S15" s="2">
        <v>15.4</v>
      </c>
      <c r="T15" s="2">
        <v>11.34</v>
      </c>
      <c r="U15" s="2">
        <v>13.62</v>
      </c>
      <c r="W15" s="33" t="s">
        <v>36</v>
      </c>
      <c r="X15" s="44">
        <v>11840</v>
      </c>
    </row>
    <row r="16" spans="1:29" x14ac:dyDescent="0.2">
      <c r="A16" s="7" t="s">
        <v>37</v>
      </c>
      <c r="B16" s="8">
        <v>8631.2000000000007</v>
      </c>
      <c r="C16" s="8">
        <v>7605</v>
      </c>
      <c r="D16" s="8">
        <v>6859.4</v>
      </c>
      <c r="E16" s="8">
        <v>6094.7</v>
      </c>
      <c r="F16" s="8">
        <v>5182.1000000000004</v>
      </c>
      <c r="G16" s="8">
        <v>4656.7</v>
      </c>
      <c r="H16" s="8">
        <v>4156</v>
      </c>
      <c r="I16" s="8">
        <v>3883.5</v>
      </c>
      <c r="J16" s="8">
        <v>3552.5</v>
      </c>
      <c r="K16" s="8">
        <v>3457.3</v>
      </c>
      <c r="L16" s="8">
        <v>2358.4</v>
      </c>
      <c r="M16" s="8">
        <v>2316.1</v>
      </c>
      <c r="N16" s="8">
        <v>2208.8000000000002</v>
      </c>
      <c r="O16" s="8">
        <v>2224.9</v>
      </c>
      <c r="P16" s="8">
        <v>2165.6999999999998</v>
      </c>
      <c r="Q16" s="8">
        <v>2197.3000000000002</v>
      </c>
      <c r="R16" s="8">
        <v>2043.2</v>
      </c>
      <c r="S16" s="8">
        <v>1963.5</v>
      </c>
      <c r="T16" s="8">
        <v>1900.7</v>
      </c>
      <c r="U16" s="8">
        <v>1902.7</v>
      </c>
      <c r="W16" s="35" t="s">
        <v>38</v>
      </c>
      <c r="X16" s="35">
        <v>59</v>
      </c>
    </row>
    <row r="17" spans="1:29" x14ac:dyDescent="0.2">
      <c r="A17" s="2" t="s">
        <v>39</v>
      </c>
      <c r="B17" s="10">
        <v>8296.2000000000007</v>
      </c>
      <c r="C17" s="10">
        <v>7285.6</v>
      </c>
      <c r="D17" s="10">
        <v>6572.5</v>
      </c>
      <c r="E17" s="10">
        <v>5840.1</v>
      </c>
      <c r="F17" s="10">
        <v>4759</v>
      </c>
      <c r="G17" s="10">
        <v>4279.8999999999996</v>
      </c>
      <c r="H17" s="10">
        <v>3954</v>
      </c>
      <c r="I17" s="10">
        <v>3720.2</v>
      </c>
      <c r="J17" s="10">
        <v>3406.2</v>
      </c>
      <c r="K17" s="10">
        <v>3326.9</v>
      </c>
      <c r="L17" s="10">
        <v>2267.9</v>
      </c>
      <c r="M17" s="10">
        <v>2225.1999999999998</v>
      </c>
      <c r="N17" s="10">
        <v>2121.6</v>
      </c>
      <c r="O17" s="10">
        <v>2141</v>
      </c>
      <c r="P17" s="10">
        <v>2081.4</v>
      </c>
      <c r="Q17" s="10">
        <v>2113.6999999999998</v>
      </c>
      <c r="R17" s="10">
        <v>1960</v>
      </c>
      <c r="S17" s="10">
        <v>1878</v>
      </c>
      <c r="T17" s="10">
        <v>1822.1</v>
      </c>
      <c r="U17" s="10">
        <v>1823.9</v>
      </c>
      <c r="W17" s="33"/>
      <c r="X17" s="33"/>
    </row>
    <row r="18" spans="1:29" x14ac:dyDescent="0.2">
      <c r="A18" s="7" t="s">
        <v>40</v>
      </c>
      <c r="B18" s="7">
        <v>335</v>
      </c>
      <c r="C18" s="7">
        <v>319.39999999999998</v>
      </c>
      <c r="D18" s="7">
        <v>286.8</v>
      </c>
      <c r="E18" s="7">
        <v>254.7</v>
      </c>
      <c r="F18" s="7">
        <v>423.1</v>
      </c>
      <c r="G18" s="7">
        <v>376.7</v>
      </c>
      <c r="H18" s="7">
        <v>202</v>
      </c>
      <c r="I18" s="7">
        <v>163.30000000000001</v>
      </c>
      <c r="J18" s="7">
        <v>146.4</v>
      </c>
      <c r="K18" s="7">
        <v>130.4</v>
      </c>
      <c r="L18" s="7">
        <v>90.5</v>
      </c>
      <c r="M18" s="7">
        <v>90.9</v>
      </c>
      <c r="N18" s="7">
        <v>87.2</v>
      </c>
      <c r="O18" s="7">
        <v>83.9</v>
      </c>
      <c r="P18" s="7">
        <v>84.3</v>
      </c>
      <c r="Q18" s="7">
        <v>83.6</v>
      </c>
      <c r="R18" s="7">
        <v>83.2</v>
      </c>
      <c r="S18" s="7">
        <v>85.5</v>
      </c>
      <c r="T18" s="7">
        <v>78.5</v>
      </c>
      <c r="U18" s="7">
        <v>78.8</v>
      </c>
      <c r="W18" s="33" t="s">
        <v>41</v>
      </c>
      <c r="X18" s="33"/>
    </row>
    <row r="19" spans="1:29" x14ac:dyDescent="0.2">
      <c r="A19" s="2" t="s">
        <v>42</v>
      </c>
      <c r="B19" s="2">
        <v>335</v>
      </c>
      <c r="C19" s="2">
        <v>319.39999999999998</v>
      </c>
      <c r="D19" s="2">
        <v>286.8</v>
      </c>
      <c r="E19" s="2">
        <v>254.7</v>
      </c>
      <c r="F19" s="2">
        <v>423.1</v>
      </c>
      <c r="G19" s="2">
        <v>376.7</v>
      </c>
      <c r="H19" s="2">
        <v>202</v>
      </c>
      <c r="I19" s="2">
        <v>163.30000000000001</v>
      </c>
      <c r="J19" s="2">
        <v>146.4</v>
      </c>
      <c r="K19" s="2">
        <v>130.4</v>
      </c>
      <c r="L19" s="2">
        <v>90.5</v>
      </c>
      <c r="M19" s="2">
        <v>90.9</v>
      </c>
      <c r="N19" s="2">
        <v>87.2</v>
      </c>
      <c r="O19" s="2">
        <v>83.9</v>
      </c>
      <c r="P19" s="2">
        <v>84.3</v>
      </c>
      <c r="Q19" s="2">
        <v>83.6</v>
      </c>
      <c r="R19" s="2">
        <v>83.2</v>
      </c>
      <c r="S19" s="2">
        <v>85.5</v>
      </c>
      <c r="T19" s="2">
        <v>78.5</v>
      </c>
      <c r="U19" s="2">
        <v>78.8</v>
      </c>
      <c r="W19" s="34" t="s">
        <v>1</v>
      </c>
      <c r="X19" s="34" t="s">
        <v>7</v>
      </c>
    </row>
    <row r="20" spans="1:29" x14ac:dyDescent="0.2">
      <c r="A20" s="7" t="s">
        <v>43</v>
      </c>
      <c r="B20" s="8">
        <v>2682.7</v>
      </c>
      <c r="C20" s="8">
        <v>2266.6999999999998</v>
      </c>
      <c r="D20" s="8">
        <v>1775.3</v>
      </c>
      <c r="E20" s="8">
        <v>1452.4</v>
      </c>
      <c r="F20" s="7">
        <v>802.5</v>
      </c>
      <c r="G20" s="7">
        <v>929.7</v>
      </c>
      <c r="H20" s="7">
        <v>709</v>
      </c>
      <c r="I20" s="7">
        <v>592.9</v>
      </c>
      <c r="J20" s="7">
        <v>351.8</v>
      </c>
      <c r="K20" s="8">
        <v>1043.9000000000001</v>
      </c>
      <c r="L20" s="7">
        <v>645.1</v>
      </c>
      <c r="M20" s="7">
        <v>747.3</v>
      </c>
      <c r="N20" s="7">
        <v>666.4</v>
      </c>
      <c r="O20" s="7">
        <v>620.4</v>
      </c>
      <c r="P20" s="7">
        <v>627.79999999999995</v>
      </c>
      <c r="Q20" s="7">
        <v>775.8</v>
      </c>
      <c r="R20" s="7">
        <v>658.6</v>
      </c>
      <c r="S20" s="7">
        <v>552.79999999999995</v>
      </c>
      <c r="T20" s="7">
        <v>571.29999999999995</v>
      </c>
      <c r="U20" s="7">
        <v>612.1</v>
      </c>
      <c r="W20" s="42" t="s">
        <v>44</v>
      </c>
      <c r="X20" s="42">
        <v>-1.7</v>
      </c>
    </row>
    <row r="21" spans="1:29" x14ac:dyDescent="0.2">
      <c r="A21" s="11" t="s">
        <v>45</v>
      </c>
      <c r="B21" s="12">
        <v>1981.6</v>
      </c>
      <c r="C21" s="12">
        <v>1628.3</v>
      </c>
      <c r="D21" s="12">
        <v>1222.5999999999999</v>
      </c>
      <c r="E21" s="11">
        <v>866.1</v>
      </c>
      <c r="F21" s="11">
        <v>374.5</v>
      </c>
      <c r="G21" s="11">
        <v>487.2</v>
      </c>
      <c r="H21" s="11">
        <v>389.9</v>
      </c>
      <c r="I21" s="11">
        <v>296.5</v>
      </c>
      <c r="J21" s="11">
        <v>57.9</v>
      </c>
      <c r="K21" s="11">
        <v>777.4</v>
      </c>
      <c r="L21" s="11">
        <v>498.3</v>
      </c>
      <c r="M21" s="11">
        <v>575.1</v>
      </c>
      <c r="N21" s="11">
        <v>493.6</v>
      </c>
      <c r="O21" s="11">
        <v>433.6</v>
      </c>
      <c r="P21" s="11">
        <v>501.2</v>
      </c>
      <c r="Q21" s="11">
        <v>600.79999999999995</v>
      </c>
      <c r="R21" s="11">
        <v>454</v>
      </c>
      <c r="S21" s="11">
        <v>382.8</v>
      </c>
      <c r="T21" s="11">
        <v>411.8</v>
      </c>
      <c r="U21" s="11">
        <v>455.6</v>
      </c>
      <c r="W21" s="33" t="s">
        <v>46</v>
      </c>
      <c r="X21" s="40">
        <v>-2.7</v>
      </c>
    </row>
    <row r="22" spans="1:29" x14ac:dyDescent="0.2">
      <c r="A22" s="6" t="s">
        <v>35</v>
      </c>
      <c r="B22" s="6">
        <v>21.7</v>
      </c>
      <c r="C22" s="6">
        <v>33.18</v>
      </c>
      <c r="D22" s="6">
        <v>41.17</v>
      </c>
      <c r="E22" s="6">
        <v>131.24</v>
      </c>
      <c r="F22" s="13">
        <v>-23.13</v>
      </c>
      <c r="G22" s="6">
        <v>24.97</v>
      </c>
      <c r="H22" s="6">
        <v>31.51</v>
      </c>
      <c r="I22" s="6">
        <v>412.43</v>
      </c>
      <c r="J22" s="13">
        <v>-92.56</v>
      </c>
      <c r="K22" s="6">
        <v>8.33</v>
      </c>
      <c r="L22" s="13">
        <v>-0.57999999999999996</v>
      </c>
      <c r="M22" s="13">
        <v>-4.2699999999999996</v>
      </c>
      <c r="N22" s="6">
        <v>8.73</v>
      </c>
      <c r="O22" s="6">
        <v>13.27</v>
      </c>
      <c r="P22" s="6">
        <v>21.72</v>
      </c>
      <c r="Q22" s="6">
        <v>31.88</v>
      </c>
      <c r="R22" s="6">
        <v>18.79</v>
      </c>
      <c r="S22" s="6">
        <v>20.350000000000001</v>
      </c>
      <c r="T22" s="6">
        <v>17.579999999999998</v>
      </c>
      <c r="U22" s="6">
        <v>31.09</v>
      </c>
      <c r="W22" s="35" t="s">
        <v>47</v>
      </c>
      <c r="X22" s="35">
        <v>1.2</v>
      </c>
    </row>
    <row r="23" spans="1:29" x14ac:dyDescent="0.2">
      <c r="A23" s="2" t="s">
        <v>48</v>
      </c>
      <c r="B23" s="2">
        <v>17.510000000000002</v>
      </c>
      <c r="C23" s="2">
        <v>16.5</v>
      </c>
      <c r="D23" s="2">
        <v>14.16</v>
      </c>
      <c r="E23" s="2">
        <v>11.48</v>
      </c>
      <c r="F23" s="2">
        <v>6.26</v>
      </c>
      <c r="G23" s="2">
        <v>8.7200000000000006</v>
      </c>
      <c r="H23" s="2">
        <v>8.01</v>
      </c>
      <c r="I23" s="2">
        <v>6.62</v>
      </c>
      <c r="J23" s="2">
        <v>1.48</v>
      </c>
      <c r="K23" s="2">
        <v>17.27</v>
      </c>
      <c r="L23" s="2">
        <v>16.59</v>
      </c>
      <c r="M23" s="2">
        <v>18.77</v>
      </c>
      <c r="N23" s="2">
        <v>17.170000000000002</v>
      </c>
      <c r="O23" s="2">
        <v>15.24</v>
      </c>
      <c r="P23" s="2">
        <v>17.940000000000001</v>
      </c>
      <c r="Q23" s="2">
        <v>20.21</v>
      </c>
      <c r="R23" s="2">
        <v>16.8</v>
      </c>
      <c r="S23" s="2">
        <v>15.21</v>
      </c>
      <c r="T23" s="2">
        <v>16.66</v>
      </c>
      <c r="U23" s="2">
        <v>18.12</v>
      </c>
      <c r="W23" s="33" t="s">
        <v>49</v>
      </c>
      <c r="X23" s="33">
        <v>10.1</v>
      </c>
    </row>
    <row r="24" spans="1:29" x14ac:dyDescent="0.2">
      <c r="A24" s="7" t="s">
        <v>50</v>
      </c>
      <c r="B24" s="7">
        <v>28.6</v>
      </c>
      <c r="C24" s="7">
        <v>-7.8</v>
      </c>
      <c r="D24" s="7">
        <v>-24.1</v>
      </c>
      <c r="E24" s="7">
        <v>-27.8</v>
      </c>
      <c r="F24" s="7">
        <v>-38.9</v>
      </c>
      <c r="G24" s="7">
        <v>-14.8</v>
      </c>
      <c r="H24" s="7">
        <v>-65.099999999999994</v>
      </c>
      <c r="I24" s="7">
        <v>-20.7</v>
      </c>
      <c r="J24" s="7">
        <v>-2.2999999999999998</v>
      </c>
      <c r="K24" s="7">
        <v>0</v>
      </c>
      <c r="L24" s="7">
        <v>-1.4</v>
      </c>
      <c r="M24" s="7">
        <v>2.2999999999999998</v>
      </c>
      <c r="N24" s="7">
        <v>7.9</v>
      </c>
      <c r="O24" s="7">
        <v>9.9</v>
      </c>
      <c r="P24" s="7">
        <v>1.3</v>
      </c>
      <c r="Q24" s="7">
        <v>7.1</v>
      </c>
      <c r="R24" s="7">
        <v>6.7</v>
      </c>
      <c r="S24" s="7">
        <v>-1.2</v>
      </c>
      <c r="T24" s="7">
        <v>1.5</v>
      </c>
      <c r="U24" s="7">
        <v>-7.3</v>
      </c>
      <c r="W24" s="35" t="s">
        <v>51</v>
      </c>
      <c r="X24" s="45">
        <v>4043</v>
      </c>
    </row>
    <row r="25" spans="1:29" x14ac:dyDescent="0.2">
      <c r="A25" s="2" t="s">
        <v>52</v>
      </c>
      <c r="B25" s="2">
        <v>0</v>
      </c>
      <c r="C25" s="2">
        <v>0</v>
      </c>
      <c r="D25" s="2">
        <v>0</v>
      </c>
      <c r="E25" s="2">
        <v>0</v>
      </c>
      <c r="F25" s="2">
        <v>3.6</v>
      </c>
      <c r="G25" s="2">
        <v>14.3</v>
      </c>
      <c r="H25" s="2">
        <v>10.1</v>
      </c>
      <c r="I25" s="2">
        <v>4.9000000000000004</v>
      </c>
      <c r="J25" s="2">
        <v>3.6</v>
      </c>
      <c r="K25" s="2">
        <v>6.5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W25" s="33" t="s">
        <v>53</v>
      </c>
      <c r="X25" s="33">
        <v>8</v>
      </c>
    </row>
    <row r="26" spans="1:29" x14ac:dyDescent="0.2">
      <c r="A26" s="6" t="s">
        <v>54</v>
      </c>
      <c r="B26" s="6">
        <v>28.6</v>
      </c>
      <c r="C26" s="13">
        <v>-7.8</v>
      </c>
      <c r="D26" s="13">
        <v>-24.1</v>
      </c>
      <c r="E26" s="13">
        <v>-27.8</v>
      </c>
      <c r="F26" s="13">
        <v>-42.5</v>
      </c>
      <c r="G26" s="13">
        <v>-29.1</v>
      </c>
      <c r="H26" s="13">
        <v>-75.2</v>
      </c>
      <c r="I26" s="13">
        <v>-25.7</v>
      </c>
      <c r="J26" s="13">
        <v>-5.9</v>
      </c>
      <c r="K26" s="13">
        <v>-6.5</v>
      </c>
      <c r="L26" s="13">
        <v>-1.4</v>
      </c>
      <c r="M26" s="6">
        <v>2.2999999999999998</v>
      </c>
      <c r="N26" s="6">
        <v>7.9</v>
      </c>
      <c r="O26" s="6">
        <v>9.9</v>
      </c>
      <c r="P26" s="6">
        <v>1.3</v>
      </c>
      <c r="Q26" s="6">
        <v>7.1</v>
      </c>
      <c r="R26" s="6">
        <v>6.7</v>
      </c>
      <c r="S26" s="13">
        <v>-1.2</v>
      </c>
      <c r="T26" s="6">
        <v>1.5</v>
      </c>
      <c r="U26" s="13">
        <v>-7.3</v>
      </c>
      <c r="W26" s="42" t="s">
        <v>55</v>
      </c>
      <c r="X26" s="42">
        <v>327</v>
      </c>
    </row>
    <row r="27" spans="1:29" x14ac:dyDescent="0.2">
      <c r="A27" s="11" t="s">
        <v>56</v>
      </c>
      <c r="B27" s="11">
        <v>0</v>
      </c>
      <c r="C27" s="11">
        <v>0</v>
      </c>
      <c r="D27" s="11">
        <v>17</v>
      </c>
      <c r="E27" s="11">
        <v>25.5</v>
      </c>
      <c r="F27" s="11">
        <v>41.9</v>
      </c>
      <c r="G27" s="11">
        <v>14.2</v>
      </c>
      <c r="H27" s="11">
        <v>56.3</v>
      </c>
      <c r="I27" s="11">
        <v>0</v>
      </c>
      <c r="J27" s="11">
        <v>16.8</v>
      </c>
      <c r="K27" s="11">
        <v>7.5</v>
      </c>
      <c r="L27" s="11">
        <v>0</v>
      </c>
      <c r="M27" s="11">
        <v>0</v>
      </c>
      <c r="N27" s="11">
        <v>0</v>
      </c>
      <c r="O27" s="11">
        <v>4.4000000000000004</v>
      </c>
      <c r="P27" s="11">
        <v>0</v>
      </c>
      <c r="Q27" s="11">
        <v>0</v>
      </c>
      <c r="R27" s="11">
        <v>0</v>
      </c>
      <c r="S27" s="11">
        <v>-0.8</v>
      </c>
      <c r="T27" s="11">
        <v>0</v>
      </c>
      <c r="U27" s="11">
        <v>0</v>
      </c>
      <c r="W27" s="33" t="s">
        <v>57</v>
      </c>
      <c r="X27" s="33">
        <v>315</v>
      </c>
    </row>
    <row r="28" spans="1:29" x14ac:dyDescent="0.2">
      <c r="A28" s="7" t="s">
        <v>58</v>
      </c>
      <c r="B28" s="14" t="s">
        <v>59</v>
      </c>
      <c r="C28" s="14" t="s">
        <v>59</v>
      </c>
      <c r="D28" s="14" t="s">
        <v>59</v>
      </c>
      <c r="E28" s="14" t="s">
        <v>59</v>
      </c>
      <c r="F28" s="14" t="s">
        <v>59</v>
      </c>
      <c r="G28" s="14" t="s">
        <v>59</v>
      </c>
      <c r="H28" s="14" t="s">
        <v>59</v>
      </c>
      <c r="I28" s="14" t="s">
        <v>59</v>
      </c>
      <c r="J28" s="7">
        <v>17.399999999999999</v>
      </c>
      <c r="K28" s="7">
        <v>6.9</v>
      </c>
      <c r="L28" s="14" t="s">
        <v>59</v>
      </c>
      <c r="M28" s="14" t="s">
        <v>59</v>
      </c>
      <c r="N28" s="14" t="s">
        <v>59</v>
      </c>
      <c r="O28" s="14" t="s">
        <v>59</v>
      </c>
      <c r="P28" s="14" t="s">
        <v>59</v>
      </c>
      <c r="Q28" s="14" t="s">
        <v>59</v>
      </c>
      <c r="R28" s="14" t="s">
        <v>59</v>
      </c>
      <c r="S28" s="14" t="s">
        <v>59</v>
      </c>
      <c r="T28" s="14" t="s">
        <v>59</v>
      </c>
      <c r="U28" s="14" t="s">
        <v>59</v>
      </c>
      <c r="W28" s="35" t="s">
        <v>60</v>
      </c>
      <c r="X28" s="35">
        <v>345</v>
      </c>
    </row>
    <row r="29" spans="1:29" x14ac:dyDescent="0.2">
      <c r="A29" s="2" t="s">
        <v>61</v>
      </c>
      <c r="B29" s="15" t="s">
        <v>59</v>
      </c>
      <c r="C29" s="15" t="s">
        <v>59</v>
      </c>
      <c r="D29" s="15" t="s">
        <v>59</v>
      </c>
      <c r="E29" s="15" t="s">
        <v>59</v>
      </c>
      <c r="F29" s="15" t="s">
        <v>59</v>
      </c>
      <c r="G29" s="15" t="s">
        <v>59</v>
      </c>
      <c r="H29" s="15" t="s">
        <v>59</v>
      </c>
      <c r="I29" s="15" t="s">
        <v>59</v>
      </c>
      <c r="J29" s="2">
        <v>17.399999999999999</v>
      </c>
      <c r="K29" s="2">
        <v>6.7</v>
      </c>
      <c r="L29" s="15" t="s">
        <v>59</v>
      </c>
      <c r="M29" s="15" t="s">
        <v>59</v>
      </c>
      <c r="N29" s="15" t="s">
        <v>59</v>
      </c>
      <c r="O29" s="15" t="s">
        <v>59</v>
      </c>
      <c r="P29" s="15" t="s">
        <v>59</v>
      </c>
      <c r="Q29" s="15" t="s">
        <v>59</v>
      </c>
      <c r="R29" s="15" t="s">
        <v>59</v>
      </c>
      <c r="S29" s="15" t="s">
        <v>59</v>
      </c>
      <c r="T29" s="15" t="s">
        <v>59</v>
      </c>
      <c r="U29" s="15" t="s">
        <v>59</v>
      </c>
      <c r="W29" s="33" t="s">
        <v>62</v>
      </c>
      <c r="X29" s="33">
        <v>5</v>
      </c>
    </row>
    <row r="30" spans="1:29" x14ac:dyDescent="0.2">
      <c r="A30" s="6" t="s">
        <v>63</v>
      </c>
      <c r="B30" s="16" t="s">
        <v>59</v>
      </c>
      <c r="C30" s="16" t="s">
        <v>59</v>
      </c>
      <c r="D30" s="16" t="s">
        <v>59</v>
      </c>
      <c r="E30" s="16" t="s">
        <v>59</v>
      </c>
      <c r="F30" s="16" t="s">
        <v>59</v>
      </c>
      <c r="G30" s="16" t="s">
        <v>59</v>
      </c>
      <c r="H30" s="16" t="s">
        <v>59</v>
      </c>
      <c r="I30" s="16" t="s">
        <v>59</v>
      </c>
      <c r="J30" s="6">
        <v>0</v>
      </c>
      <c r="K30" s="6">
        <v>0.2</v>
      </c>
      <c r="L30" s="16" t="s">
        <v>59</v>
      </c>
      <c r="M30" s="16" t="s">
        <v>59</v>
      </c>
      <c r="N30" s="16" t="s">
        <v>59</v>
      </c>
      <c r="O30" s="16" t="s">
        <v>59</v>
      </c>
      <c r="P30" s="16" t="s">
        <v>59</v>
      </c>
      <c r="Q30" s="16" t="s">
        <v>59</v>
      </c>
      <c r="R30" s="16" t="s">
        <v>59</v>
      </c>
      <c r="S30" s="16" t="s">
        <v>59</v>
      </c>
      <c r="T30" s="16" t="s">
        <v>59</v>
      </c>
      <c r="U30" s="16" t="s">
        <v>59</v>
      </c>
      <c r="W30" s="35" t="s">
        <v>64</v>
      </c>
      <c r="X30" s="35">
        <v>6.9</v>
      </c>
    </row>
    <row r="31" spans="1:29" x14ac:dyDescent="0.2">
      <c r="A31" s="2" t="s">
        <v>65</v>
      </c>
      <c r="B31" s="2">
        <v>0</v>
      </c>
      <c r="C31" s="2">
        <v>0</v>
      </c>
      <c r="D31" s="2">
        <v>7.5</v>
      </c>
      <c r="E31" s="2">
        <v>5.4</v>
      </c>
      <c r="F31" s="2">
        <v>6.4</v>
      </c>
      <c r="G31" s="2">
        <v>14.2</v>
      </c>
      <c r="H31" s="2">
        <v>27.1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W31" s="33" t="s">
        <v>66</v>
      </c>
      <c r="X31" s="33">
        <v>25.3</v>
      </c>
      <c r="Y31" s="33"/>
      <c r="Z31" s="33"/>
      <c r="AA31" s="33"/>
      <c r="AB31" s="33"/>
      <c r="AC31" s="33"/>
    </row>
    <row r="32" spans="1:29" x14ac:dyDescent="0.2">
      <c r="A32" s="6" t="s">
        <v>67</v>
      </c>
      <c r="B32" s="16" t="s">
        <v>59</v>
      </c>
      <c r="C32" s="16" t="s">
        <v>59</v>
      </c>
      <c r="D32" s="6">
        <v>9.5</v>
      </c>
      <c r="E32" s="6">
        <v>20.100000000000001</v>
      </c>
      <c r="F32" s="6">
        <v>35.5</v>
      </c>
      <c r="G32" s="16" t="s">
        <v>59</v>
      </c>
      <c r="H32" s="6">
        <v>29.3</v>
      </c>
      <c r="I32" s="16" t="s">
        <v>59</v>
      </c>
      <c r="J32" s="16" t="s">
        <v>59</v>
      </c>
      <c r="K32" s="16" t="s">
        <v>59</v>
      </c>
      <c r="L32" s="16" t="s">
        <v>59</v>
      </c>
      <c r="M32" s="16" t="s">
        <v>59</v>
      </c>
      <c r="N32" s="16" t="s">
        <v>59</v>
      </c>
      <c r="O32" s="6">
        <v>4.4000000000000004</v>
      </c>
      <c r="P32" s="16" t="s">
        <v>59</v>
      </c>
      <c r="Q32" s="16" t="s">
        <v>59</v>
      </c>
      <c r="R32" s="16" t="s">
        <v>59</v>
      </c>
      <c r="S32" s="13">
        <v>-0.8</v>
      </c>
      <c r="T32" s="16" t="s">
        <v>59</v>
      </c>
      <c r="U32" s="16" t="s">
        <v>59</v>
      </c>
      <c r="W32" s="33"/>
      <c r="X32" s="33"/>
    </row>
    <row r="33" spans="1:24" x14ac:dyDescent="0.2">
      <c r="A33" s="11" t="s">
        <v>68</v>
      </c>
      <c r="B33" s="17" t="s">
        <v>59</v>
      </c>
      <c r="C33" s="17" t="s">
        <v>59</v>
      </c>
      <c r="D33" s="17" t="s">
        <v>59</v>
      </c>
      <c r="E33" s="17" t="s">
        <v>59</v>
      </c>
      <c r="F33" s="17" t="s">
        <v>59</v>
      </c>
      <c r="G33" s="17" t="s">
        <v>59</v>
      </c>
      <c r="H33" s="17" t="s">
        <v>59</v>
      </c>
      <c r="I33" s="11">
        <v>0</v>
      </c>
      <c r="J33" s="11">
        <v>0.6</v>
      </c>
      <c r="K33" s="11">
        <v>-0.6</v>
      </c>
      <c r="L33" s="17" t="s">
        <v>59</v>
      </c>
      <c r="M33" s="17" t="s">
        <v>59</v>
      </c>
      <c r="N33" s="17" t="s">
        <v>59</v>
      </c>
      <c r="O33" s="17" t="s">
        <v>59</v>
      </c>
      <c r="P33" s="17" t="s">
        <v>59</v>
      </c>
      <c r="Q33" s="17" t="s">
        <v>59</v>
      </c>
      <c r="R33" s="17" t="s">
        <v>59</v>
      </c>
      <c r="S33" s="17" t="s">
        <v>59</v>
      </c>
      <c r="T33" s="17" t="s">
        <v>59</v>
      </c>
      <c r="U33" s="17" t="s">
        <v>59</v>
      </c>
      <c r="W33" s="33" t="s">
        <v>69</v>
      </c>
      <c r="X33" s="33"/>
    </row>
    <row r="34" spans="1:24" x14ac:dyDescent="0.2">
      <c r="A34" s="6" t="s">
        <v>70</v>
      </c>
      <c r="B34" s="16" t="s">
        <v>59</v>
      </c>
      <c r="C34" s="16" t="s">
        <v>59</v>
      </c>
      <c r="D34" s="16" t="s">
        <v>59</v>
      </c>
      <c r="E34" s="16" t="s">
        <v>59</v>
      </c>
      <c r="F34" s="16" t="s">
        <v>59</v>
      </c>
      <c r="G34" s="16" t="s">
        <v>59</v>
      </c>
      <c r="H34" s="16" t="s">
        <v>59</v>
      </c>
      <c r="I34" s="6">
        <v>0</v>
      </c>
      <c r="J34" s="6">
        <v>0.6</v>
      </c>
      <c r="K34" s="13">
        <v>-0.6</v>
      </c>
      <c r="L34" s="16" t="s">
        <v>59</v>
      </c>
      <c r="M34" s="16" t="s">
        <v>59</v>
      </c>
      <c r="N34" s="16" t="s">
        <v>59</v>
      </c>
      <c r="O34" s="16" t="s">
        <v>59</v>
      </c>
      <c r="P34" s="16" t="s">
        <v>59</v>
      </c>
      <c r="Q34" s="16" t="s">
        <v>59</v>
      </c>
      <c r="R34" s="16" t="s">
        <v>59</v>
      </c>
      <c r="S34" s="16" t="s">
        <v>59</v>
      </c>
      <c r="T34" s="16" t="s">
        <v>59</v>
      </c>
      <c r="U34" s="16" t="s">
        <v>59</v>
      </c>
      <c r="W34" s="34" t="s">
        <v>1</v>
      </c>
      <c r="X34" s="34" t="s">
        <v>7</v>
      </c>
    </row>
    <row r="35" spans="1:24" x14ac:dyDescent="0.2">
      <c r="A35" s="11" t="s">
        <v>71</v>
      </c>
      <c r="B35" s="12">
        <v>2010.2</v>
      </c>
      <c r="C35" s="12">
        <v>1620.5</v>
      </c>
      <c r="D35" s="12">
        <v>1181.5</v>
      </c>
      <c r="E35" s="11">
        <v>812.8</v>
      </c>
      <c r="F35" s="11">
        <v>293.8</v>
      </c>
      <c r="G35" s="11">
        <v>458.3</v>
      </c>
      <c r="H35" s="11">
        <v>268.39999999999998</v>
      </c>
      <c r="I35" s="11">
        <v>275.7</v>
      </c>
      <c r="J35" s="11">
        <v>38.700000000000003</v>
      </c>
      <c r="K35" s="11">
        <v>769.9</v>
      </c>
      <c r="L35" s="11">
        <v>497</v>
      </c>
      <c r="M35" s="11">
        <v>577.4</v>
      </c>
      <c r="N35" s="11">
        <v>501.5</v>
      </c>
      <c r="O35" s="11">
        <v>439.1</v>
      </c>
      <c r="P35" s="11">
        <v>502.6</v>
      </c>
      <c r="Q35" s="11">
        <v>607.9</v>
      </c>
      <c r="R35" s="11">
        <v>460.7</v>
      </c>
      <c r="S35" s="11">
        <v>382.4</v>
      </c>
      <c r="T35" s="11">
        <v>413.3</v>
      </c>
      <c r="U35" s="11">
        <v>448.3</v>
      </c>
      <c r="W35" s="35" t="s">
        <v>34</v>
      </c>
      <c r="X35" s="45">
        <v>11904</v>
      </c>
    </row>
    <row r="36" spans="1:24" x14ac:dyDescent="0.2">
      <c r="A36" s="6" t="s">
        <v>35</v>
      </c>
      <c r="B36" s="6">
        <v>24.05</v>
      </c>
      <c r="C36" s="6">
        <v>37.15</v>
      </c>
      <c r="D36" s="6">
        <v>45.37</v>
      </c>
      <c r="E36" s="6">
        <v>176.66</v>
      </c>
      <c r="F36" s="13">
        <v>-35.9</v>
      </c>
      <c r="G36" s="6">
        <v>70.72</v>
      </c>
      <c r="H36" s="13">
        <v>-2.65</v>
      </c>
      <c r="I36" s="6">
        <v>611.79999999999995</v>
      </c>
      <c r="J36" s="13">
        <v>-94.97</v>
      </c>
      <c r="K36" s="6">
        <v>7.78</v>
      </c>
      <c r="L36" s="13">
        <v>-1.1100000000000001</v>
      </c>
      <c r="M36" s="13">
        <v>-5.0199999999999996</v>
      </c>
      <c r="N36" s="6">
        <v>8.8699999999999992</v>
      </c>
      <c r="O36" s="6">
        <v>14.84</v>
      </c>
      <c r="P36" s="6">
        <v>21.59</v>
      </c>
      <c r="Q36" s="6">
        <v>35.619999999999997</v>
      </c>
      <c r="R36" s="6">
        <v>22.33</v>
      </c>
      <c r="S36" s="6">
        <v>26.03</v>
      </c>
      <c r="T36" s="6">
        <v>21.58</v>
      </c>
      <c r="U36" s="6">
        <v>28.75</v>
      </c>
      <c r="W36" s="33" t="s">
        <v>72</v>
      </c>
      <c r="X36" s="44">
        <v>3539</v>
      </c>
    </row>
    <row r="37" spans="1:24" x14ac:dyDescent="0.2">
      <c r="A37" s="2" t="s">
        <v>48</v>
      </c>
      <c r="B37" s="2">
        <v>17.77</v>
      </c>
      <c r="C37" s="2">
        <v>16.420000000000002</v>
      </c>
      <c r="D37" s="2">
        <v>13.68</v>
      </c>
      <c r="E37" s="2">
        <v>10.77</v>
      </c>
      <c r="F37" s="2">
        <v>4.91</v>
      </c>
      <c r="G37" s="2">
        <v>8.1999999999999993</v>
      </c>
      <c r="H37" s="2">
        <v>5.52</v>
      </c>
      <c r="I37" s="2">
        <v>6.16</v>
      </c>
      <c r="J37" s="2">
        <v>0.99</v>
      </c>
      <c r="K37" s="2">
        <v>17.100000000000001</v>
      </c>
      <c r="L37" s="2">
        <v>16.55</v>
      </c>
      <c r="M37" s="2">
        <v>18.850000000000001</v>
      </c>
      <c r="N37" s="2">
        <v>17.440000000000001</v>
      </c>
      <c r="O37" s="2">
        <v>15.43</v>
      </c>
      <c r="P37" s="2">
        <v>17.989999999999998</v>
      </c>
      <c r="Q37" s="2">
        <v>20.45</v>
      </c>
      <c r="R37" s="2">
        <v>17.05</v>
      </c>
      <c r="S37" s="2">
        <v>15.19</v>
      </c>
      <c r="T37" s="2">
        <v>16.72</v>
      </c>
      <c r="U37" s="2">
        <v>17.82</v>
      </c>
      <c r="W37" s="35" t="s">
        <v>43</v>
      </c>
      <c r="X37" s="45">
        <v>3009</v>
      </c>
    </row>
    <row r="38" spans="1:24" x14ac:dyDescent="0.2">
      <c r="A38" s="7" t="s">
        <v>73</v>
      </c>
      <c r="B38" s="7">
        <v>476.1</v>
      </c>
      <c r="C38" s="7">
        <v>391.8</v>
      </c>
      <c r="D38" s="7">
        <v>282.39999999999998</v>
      </c>
      <c r="E38" s="7">
        <v>159.80000000000001</v>
      </c>
      <c r="F38" s="7">
        <v>-62</v>
      </c>
      <c r="G38" s="7">
        <v>108.1</v>
      </c>
      <c r="H38" s="7">
        <v>91.9</v>
      </c>
      <c r="I38" s="7">
        <v>99.5</v>
      </c>
      <c r="J38" s="7">
        <v>15.8</v>
      </c>
      <c r="K38" s="7">
        <v>294.3</v>
      </c>
      <c r="L38" s="7">
        <v>114.9</v>
      </c>
      <c r="M38" s="7">
        <v>141.30000000000001</v>
      </c>
      <c r="N38" s="7">
        <v>114.9</v>
      </c>
      <c r="O38" s="7">
        <v>107.3</v>
      </c>
      <c r="P38" s="7">
        <v>115.2</v>
      </c>
      <c r="Q38" s="7">
        <v>152.19999999999999</v>
      </c>
      <c r="R38" s="7">
        <v>101.4</v>
      </c>
      <c r="S38" s="7">
        <v>100.3</v>
      </c>
      <c r="T38" s="7">
        <v>100.1</v>
      </c>
      <c r="U38" s="7">
        <v>106.5</v>
      </c>
      <c r="W38" s="46" t="s">
        <v>74</v>
      </c>
      <c r="X38" s="46">
        <v>620</v>
      </c>
    </row>
    <row r="39" spans="1:24" x14ac:dyDescent="0.2">
      <c r="A39" s="2" t="s">
        <v>75</v>
      </c>
      <c r="B39" s="2">
        <v>521.79999999999995</v>
      </c>
      <c r="C39" s="2">
        <v>407.7</v>
      </c>
      <c r="D39" s="2">
        <v>321.7</v>
      </c>
      <c r="E39" s="2">
        <v>179.3</v>
      </c>
      <c r="F39" s="9">
        <v>-164.4</v>
      </c>
      <c r="G39" s="2">
        <v>80.2</v>
      </c>
      <c r="H39" s="2">
        <v>82.5</v>
      </c>
      <c r="I39" s="2">
        <v>117.1</v>
      </c>
      <c r="J39" s="2">
        <v>31.9</v>
      </c>
      <c r="K39" s="2">
        <v>284.7</v>
      </c>
      <c r="L39" s="15" t="s">
        <v>59</v>
      </c>
      <c r="M39" s="15" t="s">
        <v>59</v>
      </c>
      <c r="N39" s="15" t="s">
        <v>59</v>
      </c>
      <c r="O39" s="15" t="s">
        <v>59</v>
      </c>
      <c r="P39" s="15" t="s">
        <v>59</v>
      </c>
      <c r="Q39" s="15" t="s">
        <v>59</v>
      </c>
      <c r="R39" s="15" t="s">
        <v>59</v>
      </c>
      <c r="S39" s="15" t="s">
        <v>59</v>
      </c>
      <c r="T39" s="15" t="s">
        <v>59</v>
      </c>
      <c r="U39" s="15" t="s">
        <v>59</v>
      </c>
      <c r="W39" s="35" t="s">
        <v>76</v>
      </c>
      <c r="X39" s="39" t="s">
        <v>59</v>
      </c>
    </row>
    <row r="40" spans="1:24" x14ac:dyDescent="0.2">
      <c r="A40" s="6" t="s">
        <v>77</v>
      </c>
      <c r="B40" s="6">
        <v>1.6</v>
      </c>
      <c r="C40" s="6">
        <v>1.2</v>
      </c>
      <c r="D40" s="6">
        <v>0.4</v>
      </c>
      <c r="E40" s="6">
        <v>0.3</v>
      </c>
      <c r="F40" s="6">
        <v>1</v>
      </c>
      <c r="G40" s="6">
        <v>0.6</v>
      </c>
      <c r="H40" s="6">
        <v>0.6</v>
      </c>
      <c r="I40" s="6">
        <v>0.7</v>
      </c>
      <c r="J40" s="6">
        <v>0.6</v>
      </c>
      <c r="K40" s="6">
        <v>0.2</v>
      </c>
      <c r="L40" s="16" t="s">
        <v>59</v>
      </c>
      <c r="M40" s="16" t="s">
        <v>59</v>
      </c>
      <c r="N40" s="16" t="s">
        <v>59</v>
      </c>
      <c r="O40" s="16" t="s">
        <v>59</v>
      </c>
      <c r="P40" s="16" t="s">
        <v>59</v>
      </c>
      <c r="Q40" s="16" t="s">
        <v>59</v>
      </c>
      <c r="R40" s="16" t="s">
        <v>59</v>
      </c>
      <c r="S40" s="16" t="s">
        <v>59</v>
      </c>
      <c r="T40" s="16" t="s">
        <v>59</v>
      </c>
      <c r="U40" s="16" t="s">
        <v>59</v>
      </c>
      <c r="W40" s="33" t="s">
        <v>78</v>
      </c>
      <c r="X40" s="33">
        <v>630</v>
      </c>
    </row>
    <row r="41" spans="1:24" x14ac:dyDescent="0.2">
      <c r="A41" s="2" t="s">
        <v>79</v>
      </c>
      <c r="B41" s="9">
        <v>-42.9</v>
      </c>
      <c r="C41" s="9">
        <v>-9.5</v>
      </c>
      <c r="D41" s="9">
        <v>-43.4</v>
      </c>
      <c r="E41" s="9">
        <v>-12.6</v>
      </c>
      <c r="F41" s="2">
        <v>108.6</v>
      </c>
      <c r="G41" s="2">
        <v>30</v>
      </c>
      <c r="H41" s="2">
        <v>11</v>
      </c>
      <c r="I41" s="9">
        <v>-17.8</v>
      </c>
      <c r="J41" s="9">
        <v>-14.1</v>
      </c>
      <c r="K41" s="2">
        <v>11.7</v>
      </c>
      <c r="L41" s="15" t="s">
        <v>59</v>
      </c>
      <c r="M41" s="15" t="s">
        <v>59</v>
      </c>
      <c r="N41" s="15" t="s">
        <v>59</v>
      </c>
      <c r="O41" s="15" t="s">
        <v>59</v>
      </c>
      <c r="P41" s="15" t="s">
        <v>59</v>
      </c>
      <c r="Q41" s="15" t="s">
        <v>59</v>
      </c>
      <c r="R41" s="15" t="s">
        <v>59</v>
      </c>
      <c r="S41" s="15" t="s">
        <v>59</v>
      </c>
      <c r="T41" s="15" t="s">
        <v>59</v>
      </c>
      <c r="U41" s="15" t="s">
        <v>59</v>
      </c>
      <c r="W41" s="35" t="s">
        <v>80</v>
      </c>
      <c r="X41" s="45">
        <v>2995</v>
      </c>
    </row>
    <row r="42" spans="1:24" x14ac:dyDescent="0.2">
      <c r="A42" s="6" t="s">
        <v>81</v>
      </c>
      <c r="B42" s="13">
        <v>-4.4000000000000004</v>
      </c>
      <c r="C42" s="13">
        <v>-7.6</v>
      </c>
      <c r="D42" s="6">
        <v>3.8</v>
      </c>
      <c r="E42" s="13">
        <v>-7.2</v>
      </c>
      <c r="F42" s="13">
        <v>-7.2</v>
      </c>
      <c r="G42" s="13">
        <v>-2.7</v>
      </c>
      <c r="H42" s="13">
        <v>-2.2999999999999998</v>
      </c>
      <c r="I42" s="13">
        <v>-0.5</v>
      </c>
      <c r="J42" s="13">
        <v>-2.5</v>
      </c>
      <c r="K42" s="13">
        <v>-2.2999999999999998</v>
      </c>
      <c r="L42" s="16" t="s">
        <v>59</v>
      </c>
      <c r="M42" s="16" t="s">
        <v>59</v>
      </c>
      <c r="N42" s="16" t="s">
        <v>59</v>
      </c>
      <c r="O42" s="16" t="s">
        <v>59</v>
      </c>
      <c r="P42" s="16" t="s">
        <v>59</v>
      </c>
      <c r="Q42" s="16" t="s">
        <v>59</v>
      </c>
      <c r="R42" s="16" t="s">
        <v>59</v>
      </c>
      <c r="S42" s="16" t="s">
        <v>59</v>
      </c>
      <c r="T42" s="16" t="s">
        <v>59</v>
      </c>
      <c r="U42" s="16" t="s">
        <v>59</v>
      </c>
      <c r="W42" s="46" t="s">
        <v>82</v>
      </c>
      <c r="X42" s="47">
        <v>2314</v>
      </c>
    </row>
    <row r="43" spans="1:24" x14ac:dyDescent="0.2">
      <c r="A43" s="11" t="s">
        <v>83</v>
      </c>
      <c r="B43" s="12">
        <v>1534.1</v>
      </c>
      <c r="C43" s="12">
        <v>1228.7</v>
      </c>
      <c r="D43" s="11">
        <v>899.1</v>
      </c>
      <c r="E43" s="11">
        <v>653</v>
      </c>
      <c r="F43" s="11">
        <v>355.8</v>
      </c>
      <c r="G43" s="11">
        <v>350.2</v>
      </c>
      <c r="H43" s="11">
        <v>176.6</v>
      </c>
      <c r="I43" s="11">
        <v>176.3</v>
      </c>
      <c r="J43" s="11">
        <v>22.9</v>
      </c>
      <c r="K43" s="11">
        <v>475.6</v>
      </c>
      <c r="L43" s="11">
        <v>382.1</v>
      </c>
      <c r="M43" s="11">
        <v>436.1</v>
      </c>
      <c r="N43" s="11">
        <v>386.6</v>
      </c>
      <c r="O43" s="11">
        <v>331.8</v>
      </c>
      <c r="P43" s="11">
        <v>387.4</v>
      </c>
      <c r="Q43" s="11">
        <v>455.7</v>
      </c>
      <c r="R43" s="11">
        <v>359.3</v>
      </c>
      <c r="S43" s="11">
        <v>282.10000000000002</v>
      </c>
      <c r="T43" s="11">
        <v>313.2</v>
      </c>
      <c r="U43" s="11">
        <v>341.8</v>
      </c>
      <c r="W43" s="35" t="s">
        <v>84</v>
      </c>
      <c r="X43" s="45">
        <v>2344</v>
      </c>
    </row>
    <row r="44" spans="1:24" x14ac:dyDescent="0.2">
      <c r="A44" s="6" t="s">
        <v>35</v>
      </c>
      <c r="B44" s="6">
        <v>24.85</v>
      </c>
      <c r="C44" s="6">
        <v>36.659999999999997</v>
      </c>
      <c r="D44" s="6">
        <v>37.69</v>
      </c>
      <c r="E44" s="6">
        <v>83.54</v>
      </c>
      <c r="F44" s="6">
        <v>1.6</v>
      </c>
      <c r="G44" s="6">
        <v>98.33</v>
      </c>
      <c r="H44" s="6">
        <v>0.17</v>
      </c>
      <c r="I44" s="6">
        <v>668.39</v>
      </c>
      <c r="J44" s="13">
        <v>-95.18</v>
      </c>
      <c r="K44" s="6">
        <v>6.79</v>
      </c>
      <c r="L44" s="13">
        <v>-1.36</v>
      </c>
      <c r="M44" s="13">
        <v>-4.29</v>
      </c>
      <c r="N44" s="6">
        <v>7.6</v>
      </c>
      <c r="O44" s="6">
        <v>17.61</v>
      </c>
      <c r="P44" s="6">
        <v>23.68</v>
      </c>
      <c r="Q44" s="6">
        <v>33.32</v>
      </c>
      <c r="R44" s="6">
        <v>23.19</v>
      </c>
      <c r="S44" s="6">
        <v>26.08</v>
      </c>
      <c r="T44" s="6">
        <v>21.81</v>
      </c>
      <c r="U44" s="6">
        <v>31.49</v>
      </c>
      <c r="W44" s="33" t="s">
        <v>85</v>
      </c>
      <c r="X44" s="44">
        <v>2305</v>
      </c>
    </row>
    <row r="45" spans="1:24" x14ac:dyDescent="0.2">
      <c r="A45" s="2" t="s">
        <v>48</v>
      </c>
      <c r="B45" s="2">
        <v>13.56</v>
      </c>
      <c r="C45" s="2">
        <v>12.45</v>
      </c>
      <c r="D45" s="2">
        <v>10.41</v>
      </c>
      <c r="E45" s="2">
        <v>8.65</v>
      </c>
      <c r="F45" s="2">
        <v>5.94</v>
      </c>
      <c r="G45" s="2">
        <v>6.27</v>
      </c>
      <c r="H45" s="2">
        <v>3.63</v>
      </c>
      <c r="I45" s="2">
        <v>3.94</v>
      </c>
      <c r="J45" s="2">
        <v>0.59</v>
      </c>
      <c r="K45" s="2">
        <v>10.57</v>
      </c>
      <c r="L45" s="2">
        <v>12.72</v>
      </c>
      <c r="M45" s="2">
        <v>14.24</v>
      </c>
      <c r="N45" s="2">
        <v>13.45</v>
      </c>
      <c r="O45" s="2">
        <v>11.66</v>
      </c>
      <c r="P45" s="2">
        <v>13.87</v>
      </c>
      <c r="Q45" s="2">
        <v>15.33</v>
      </c>
      <c r="R45" s="2">
        <v>13.3</v>
      </c>
      <c r="S45" s="2">
        <v>11.21</v>
      </c>
      <c r="T45" s="2">
        <v>12.67</v>
      </c>
      <c r="U45" s="2">
        <v>13.59</v>
      </c>
      <c r="W45" s="35" t="s">
        <v>86</v>
      </c>
      <c r="X45" s="35">
        <v>360</v>
      </c>
    </row>
    <row r="46" spans="1:24" x14ac:dyDescent="0.2">
      <c r="A46" s="7" t="s">
        <v>87</v>
      </c>
      <c r="B46" s="8">
        <v>1534.1</v>
      </c>
      <c r="C46" s="8">
        <v>1228.7</v>
      </c>
      <c r="D46" s="7">
        <v>899.1</v>
      </c>
      <c r="E46" s="7">
        <v>653</v>
      </c>
      <c r="F46" s="7">
        <v>355.8</v>
      </c>
      <c r="G46" s="7">
        <v>350.2</v>
      </c>
      <c r="H46" s="7">
        <v>176.6</v>
      </c>
      <c r="I46" s="7">
        <v>176.3</v>
      </c>
      <c r="J46" s="7">
        <v>22.9</v>
      </c>
      <c r="K46" s="7">
        <v>475.6</v>
      </c>
      <c r="L46" s="7">
        <v>382.1</v>
      </c>
      <c r="M46" s="7">
        <v>436.1</v>
      </c>
      <c r="N46" s="7">
        <v>386.6</v>
      </c>
      <c r="O46" s="7">
        <v>331.8</v>
      </c>
      <c r="P46" s="7">
        <v>387.4</v>
      </c>
      <c r="Q46" s="7">
        <v>455.7</v>
      </c>
      <c r="R46" s="7">
        <v>359.3</v>
      </c>
      <c r="S46" s="7">
        <v>282.10000000000002</v>
      </c>
      <c r="T46" s="7">
        <v>313.2</v>
      </c>
      <c r="U46" s="7">
        <v>341.8</v>
      </c>
      <c r="W46" s="46" t="s">
        <v>88</v>
      </c>
      <c r="X46" s="47">
        <v>1952</v>
      </c>
    </row>
    <row r="47" spans="1:24" x14ac:dyDescent="0.2">
      <c r="A47" s="2" t="s">
        <v>35</v>
      </c>
      <c r="B47" s="2">
        <v>24.85</v>
      </c>
      <c r="C47" s="2">
        <v>36.659999999999997</v>
      </c>
      <c r="D47" s="2">
        <v>37.69</v>
      </c>
      <c r="E47" s="2">
        <v>83.54</v>
      </c>
      <c r="F47" s="2">
        <v>1.6</v>
      </c>
      <c r="G47" s="2">
        <v>98.33</v>
      </c>
      <c r="H47" s="2">
        <v>0.17</v>
      </c>
      <c r="I47" s="2">
        <v>668.39</v>
      </c>
      <c r="J47" s="9">
        <v>-95.18</v>
      </c>
      <c r="K47" s="2">
        <v>6.79</v>
      </c>
      <c r="L47" s="9">
        <v>-1.36</v>
      </c>
      <c r="M47" s="9">
        <v>-4.29</v>
      </c>
      <c r="N47" s="2">
        <v>7.6</v>
      </c>
      <c r="O47" s="2">
        <v>17.61</v>
      </c>
      <c r="P47" s="2">
        <v>23.68</v>
      </c>
      <c r="Q47" s="2">
        <v>33.32</v>
      </c>
      <c r="R47" s="2">
        <v>23.19</v>
      </c>
      <c r="S47" s="2">
        <v>26.08</v>
      </c>
      <c r="T47" s="2">
        <v>21.81</v>
      </c>
      <c r="U47" s="2">
        <v>31.49</v>
      </c>
      <c r="W47" s="35" t="s">
        <v>89</v>
      </c>
      <c r="X47" s="45">
        <v>1966</v>
      </c>
    </row>
    <row r="48" spans="1:24" x14ac:dyDescent="0.2">
      <c r="A48" s="6" t="s">
        <v>48</v>
      </c>
      <c r="B48" s="6">
        <v>13.56</v>
      </c>
      <c r="C48" s="6">
        <v>12.45</v>
      </c>
      <c r="D48" s="6">
        <v>10.41</v>
      </c>
      <c r="E48" s="6">
        <v>8.65</v>
      </c>
      <c r="F48" s="6">
        <v>5.94</v>
      </c>
      <c r="G48" s="6">
        <v>6.27</v>
      </c>
      <c r="H48" s="6">
        <v>3.63</v>
      </c>
      <c r="I48" s="6">
        <v>3.94</v>
      </c>
      <c r="J48" s="6">
        <v>0.59</v>
      </c>
      <c r="K48" s="6">
        <v>10.57</v>
      </c>
      <c r="L48" s="6">
        <v>12.72</v>
      </c>
      <c r="M48" s="6">
        <v>14.24</v>
      </c>
      <c r="N48" s="6">
        <v>13.45</v>
      </c>
      <c r="O48" s="6">
        <v>11.66</v>
      </c>
      <c r="P48" s="6">
        <v>13.87</v>
      </c>
      <c r="Q48" s="6">
        <v>15.33</v>
      </c>
      <c r="R48" s="6">
        <v>13.3</v>
      </c>
      <c r="S48" s="6">
        <v>11.21</v>
      </c>
      <c r="T48" s="6">
        <v>12.67</v>
      </c>
      <c r="U48" s="6">
        <v>13.59</v>
      </c>
      <c r="W48" s="33" t="s">
        <v>90</v>
      </c>
      <c r="X48" s="44">
        <v>1972</v>
      </c>
    </row>
    <row r="49" spans="1:24" x14ac:dyDescent="0.2">
      <c r="A49" s="2" t="s">
        <v>91</v>
      </c>
      <c r="B49" s="10">
        <v>1534.1</v>
      </c>
      <c r="C49" s="10">
        <v>1228.7</v>
      </c>
      <c r="D49" s="2">
        <v>899.1</v>
      </c>
      <c r="E49" s="2">
        <v>653</v>
      </c>
      <c r="F49" s="2">
        <v>355.8</v>
      </c>
      <c r="G49" s="2">
        <v>350.2</v>
      </c>
      <c r="H49" s="2">
        <v>176.6</v>
      </c>
      <c r="I49" s="2">
        <v>176.3</v>
      </c>
      <c r="J49" s="2">
        <v>22.9</v>
      </c>
      <c r="K49" s="2">
        <v>475.6</v>
      </c>
      <c r="L49" s="2">
        <v>382.1</v>
      </c>
      <c r="M49" s="2">
        <v>436.1</v>
      </c>
      <c r="N49" s="2">
        <v>386.6</v>
      </c>
      <c r="O49" s="2">
        <v>331.8</v>
      </c>
      <c r="P49" s="2">
        <v>387.4</v>
      </c>
      <c r="Q49" s="2">
        <v>455.7</v>
      </c>
      <c r="R49" s="2">
        <v>359.3</v>
      </c>
      <c r="S49" s="2">
        <v>282.10000000000002</v>
      </c>
      <c r="T49" s="2">
        <v>313.2</v>
      </c>
      <c r="U49" s="2">
        <v>341.8</v>
      </c>
      <c r="W49" s="35" t="s">
        <v>92</v>
      </c>
      <c r="X49" s="35">
        <v>23</v>
      </c>
    </row>
    <row r="50" spans="1:24" x14ac:dyDescent="0.2">
      <c r="A50" s="7" t="s">
        <v>93</v>
      </c>
      <c r="B50" s="7" t="s">
        <v>1</v>
      </c>
      <c r="C50" s="7" t="s">
        <v>1</v>
      </c>
      <c r="D50" s="7" t="s">
        <v>1</v>
      </c>
      <c r="E50" s="7" t="s">
        <v>1</v>
      </c>
      <c r="F50" s="7" t="s">
        <v>1</v>
      </c>
      <c r="G50" s="7" t="s">
        <v>1</v>
      </c>
      <c r="H50" s="7" t="s">
        <v>1</v>
      </c>
      <c r="I50" s="7" t="s">
        <v>1</v>
      </c>
      <c r="J50" s="7" t="s">
        <v>1</v>
      </c>
      <c r="K50" s="7" t="s">
        <v>1</v>
      </c>
      <c r="L50" s="7" t="s">
        <v>1</v>
      </c>
      <c r="M50" s="7" t="s">
        <v>1</v>
      </c>
      <c r="N50" s="7" t="s">
        <v>1</v>
      </c>
      <c r="O50" s="7" t="s">
        <v>1</v>
      </c>
      <c r="P50" s="7" t="s">
        <v>1</v>
      </c>
      <c r="Q50" s="7" t="s">
        <v>1</v>
      </c>
      <c r="R50" s="7" t="s">
        <v>1</v>
      </c>
      <c r="S50" s="7" t="s">
        <v>1</v>
      </c>
      <c r="T50" s="7" t="s">
        <v>1</v>
      </c>
      <c r="U50" s="7" t="s">
        <v>1</v>
      </c>
      <c r="W50" s="46" t="s">
        <v>71</v>
      </c>
      <c r="X50" s="47">
        <v>2029</v>
      </c>
    </row>
    <row r="51" spans="1:24" x14ac:dyDescent="0.2">
      <c r="A51" s="2" t="s">
        <v>94</v>
      </c>
      <c r="B51" s="2">
        <v>1.1100000000000001</v>
      </c>
      <c r="C51" s="2">
        <v>0.89</v>
      </c>
      <c r="D51" s="2">
        <v>0.65</v>
      </c>
      <c r="E51" s="2">
        <v>0.47</v>
      </c>
      <c r="F51" s="2">
        <v>0.27</v>
      </c>
      <c r="G51" s="2">
        <v>0.25</v>
      </c>
      <c r="H51" s="2">
        <v>0.15</v>
      </c>
      <c r="I51" s="2">
        <v>0.12</v>
      </c>
      <c r="J51" s="2">
        <v>0.02</v>
      </c>
      <c r="K51" s="2">
        <v>0.31</v>
      </c>
      <c r="L51" s="2">
        <v>0.28999999999999998</v>
      </c>
      <c r="M51" s="2">
        <v>0.32</v>
      </c>
      <c r="N51" s="2">
        <v>0.28000000000000003</v>
      </c>
      <c r="O51" s="2">
        <v>0.24</v>
      </c>
      <c r="P51" s="2">
        <v>0.28000000000000003</v>
      </c>
      <c r="Q51" s="2">
        <v>0.33</v>
      </c>
      <c r="R51" s="2">
        <v>0.26</v>
      </c>
      <c r="S51" s="2">
        <v>0.2</v>
      </c>
      <c r="T51" s="2">
        <v>0.23</v>
      </c>
      <c r="U51" s="2">
        <v>0.25</v>
      </c>
      <c r="W51" s="35" t="s">
        <v>95</v>
      </c>
      <c r="X51" s="45">
        <v>2041</v>
      </c>
    </row>
    <row r="52" spans="1:24" x14ac:dyDescent="0.2">
      <c r="A52" s="7" t="s">
        <v>96</v>
      </c>
      <c r="B52" s="7">
        <v>1.1200000000000001</v>
      </c>
      <c r="C52" s="7">
        <v>0.89</v>
      </c>
      <c r="D52" s="7">
        <v>0.65</v>
      </c>
      <c r="E52" s="7">
        <v>0.46</v>
      </c>
      <c r="F52" s="7">
        <v>0.25</v>
      </c>
      <c r="G52" s="7">
        <v>0.25</v>
      </c>
      <c r="H52" s="7">
        <v>0.13</v>
      </c>
      <c r="I52" s="7">
        <v>0.12</v>
      </c>
      <c r="J52" s="7">
        <v>0.02</v>
      </c>
      <c r="K52" s="7">
        <v>0.31</v>
      </c>
      <c r="L52" s="7">
        <v>0.28999999999999998</v>
      </c>
      <c r="M52" s="7">
        <v>0.32</v>
      </c>
      <c r="N52" s="7">
        <v>0.28999999999999998</v>
      </c>
      <c r="O52" s="7">
        <v>0.24</v>
      </c>
      <c r="P52" s="7">
        <v>0.28000000000000003</v>
      </c>
      <c r="Q52" s="7">
        <v>0.33</v>
      </c>
      <c r="R52" s="7">
        <v>0.26</v>
      </c>
      <c r="S52" s="7">
        <v>0.21</v>
      </c>
      <c r="T52" s="7">
        <v>0.23</v>
      </c>
      <c r="U52" s="7">
        <v>0.25</v>
      </c>
      <c r="W52" s="33" t="s">
        <v>97</v>
      </c>
      <c r="X52" s="44">
        <v>2048</v>
      </c>
    </row>
    <row r="53" spans="1:24" x14ac:dyDescent="0.2">
      <c r="A53" s="2" t="s">
        <v>98</v>
      </c>
      <c r="B53" s="10">
        <v>1368.34</v>
      </c>
      <c r="C53" s="10">
        <v>1377.75</v>
      </c>
      <c r="D53" s="10">
        <v>1392.55</v>
      </c>
      <c r="E53" s="10">
        <v>1406.6</v>
      </c>
      <c r="F53" s="10">
        <v>1395.85</v>
      </c>
      <c r="G53" s="10">
        <v>1387</v>
      </c>
      <c r="H53" s="10">
        <v>1391.15</v>
      </c>
      <c r="I53" s="10">
        <v>1424.55</v>
      </c>
      <c r="J53" s="10">
        <v>1463.25</v>
      </c>
      <c r="K53" s="10">
        <v>1554.6</v>
      </c>
      <c r="L53" s="10">
        <v>1335</v>
      </c>
      <c r="M53" s="10">
        <v>1344.96</v>
      </c>
      <c r="N53" s="10">
        <v>1354.52</v>
      </c>
      <c r="O53" s="10">
        <v>1361.36</v>
      </c>
      <c r="P53" s="10">
        <v>1367.04</v>
      </c>
      <c r="Q53" s="10">
        <v>1372.8</v>
      </c>
      <c r="R53" s="10">
        <v>1372.2</v>
      </c>
      <c r="S53" s="10">
        <v>1372</v>
      </c>
      <c r="T53" s="10">
        <v>1377.5</v>
      </c>
      <c r="U53" s="10">
        <v>1380.2</v>
      </c>
      <c r="W53" s="35" t="s">
        <v>99</v>
      </c>
      <c r="X53" s="35">
        <v>486</v>
      </c>
    </row>
    <row r="54" spans="1:24" x14ac:dyDescent="0.2">
      <c r="A54" s="6" t="s">
        <v>100</v>
      </c>
      <c r="B54" s="18">
        <v>1358.75</v>
      </c>
      <c r="C54" s="18">
        <v>1371.3</v>
      </c>
      <c r="D54" s="18">
        <v>1381.35</v>
      </c>
      <c r="E54" s="18">
        <v>1404</v>
      </c>
      <c r="F54" s="18">
        <v>1400.05</v>
      </c>
      <c r="G54" s="18">
        <v>1387.75</v>
      </c>
      <c r="H54" s="18">
        <v>1384.85</v>
      </c>
      <c r="I54" s="18">
        <v>1401.3</v>
      </c>
      <c r="J54" s="18">
        <v>1440.7</v>
      </c>
      <c r="K54" s="18">
        <v>1529.2</v>
      </c>
      <c r="L54" s="18">
        <v>1325.68</v>
      </c>
      <c r="M54" s="18">
        <v>1341.43</v>
      </c>
      <c r="N54" s="18">
        <v>1349.79</v>
      </c>
      <c r="O54" s="18">
        <v>1358.75</v>
      </c>
      <c r="P54" s="18">
        <v>1363.64</v>
      </c>
      <c r="Q54" s="18">
        <v>1371.37</v>
      </c>
      <c r="R54" s="18">
        <v>1373.35</v>
      </c>
      <c r="S54" s="18">
        <v>1371.3</v>
      </c>
      <c r="T54" s="18">
        <v>1374.25</v>
      </c>
      <c r="U54" s="18">
        <v>1379.8</v>
      </c>
      <c r="W54" s="46" t="s">
        <v>87</v>
      </c>
      <c r="X54" s="47">
        <v>1553</v>
      </c>
    </row>
    <row r="55" spans="1:24" x14ac:dyDescent="0.2">
      <c r="A55" s="11" t="s">
        <v>101</v>
      </c>
      <c r="B55" s="11">
        <v>1.1100000000000001</v>
      </c>
      <c r="C55" s="11">
        <v>0.89</v>
      </c>
      <c r="D55" s="11">
        <v>0.64</v>
      </c>
      <c r="E55" s="11">
        <v>0.46</v>
      </c>
      <c r="F55" s="11">
        <v>0.25</v>
      </c>
      <c r="G55" s="11">
        <v>0.25</v>
      </c>
      <c r="H55" s="11">
        <v>0.13</v>
      </c>
      <c r="I55" s="11">
        <v>0.12</v>
      </c>
      <c r="J55" s="11">
        <v>0.02</v>
      </c>
      <c r="K55" s="11">
        <v>0.3</v>
      </c>
      <c r="L55" s="11">
        <v>0.28999999999999998</v>
      </c>
      <c r="M55" s="11">
        <v>0.32</v>
      </c>
      <c r="N55" s="11">
        <v>0.28000000000000003</v>
      </c>
      <c r="O55" s="11">
        <v>0.24</v>
      </c>
      <c r="P55" s="11">
        <v>0.28000000000000003</v>
      </c>
      <c r="Q55" s="11">
        <v>0.33</v>
      </c>
      <c r="R55" s="11">
        <v>0.26</v>
      </c>
      <c r="S55" s="11">
        <v>0.2</v>
      </c>
      <c r="T55" s="11">
        <v>0.23</v>
      </c>
      <c r="U55" s="11">
        <v>0.25</v>
      </c>
      <c r="W55" s="35" t="s">
        <v>102</v>
      </c>
      <c r="X55" s="45">
        <v>1553</v>
      </c>
    </row>
    <row r="56" spans="1:24" x14ac:dyDescent="0.2">
      <c r="A56" s="6" t="s">
        <v>103</v>
      </c>
      <c r="B56" s="18">
        <v>1376.56</v>
      </c>
      <c r="C56" s="18">
        <v>1385.5</v>
      </c>
      <c r="D56" s="18">
        <v>1403.1</v>
      </c>
      <c r="E56" s="18">
        <v>1425.55</v>
      </c>
      <c r="F56" s="18">
        <v>1420.8</v>
      </c>
      <c r="G56" s="18">
        <v>1414.75</v>
      </c>
      <c r="H56" s="18">
        <v>1398.1</v>
      </c>
      <c r="I56" s="18">
        <v>1428.05</v>
      </c>
      <c r="J56" s="18">
        <v>1488.5</v>
      </c>
      <c r="K56" s="18">
        <v>1574.7</v>
      </c>
      <c r="L56" s="18">
        <v>1339.52</v>
      </c>
      <c r="M56" s="18">
        <v>1350.24</v>
      </c>
      <c r="N56" s="18">
        <v>1360.72</v>
      </c>
      <c r="O56" s="18">
        <v>1368.92</v>
      </c>
      <c r="P56" s="18">
        <v>1374.61</v>
      </c>
      <c r="Q56" s="18">
        <v>1381.52</v>
      </c>
      <c r="R56" s="18">
        <v>1381.2</v>
      </c>
      <c r="S56" s="18">
        <v>1381.05</v>
      </c>
      <c r="T56" s="18">
        <v>1384.05</v>
      </c>
      <c r="U56" s="18">
        <v>1387.35</v>
      </c>
      <c r="W56" s="33" t="s">
        <v>104</v>
      </c>
      <c r="X56" s="44">
        <v>1527</v>
      </c>
    </row>
    <row r="57" spans="1:24" x14ac:dyDescent="0.2">
      <c r="A57" s="2" t="s">
        <v>100</v>
      </c>
      <c r="B57" s="10">
        <v>1358.75</v>
      </c>
      <c r="C57" s="10">
        <v>1371.3</v>
      </c>
      <c r="D57" s="10">
        <v>1381.35</v>
      </c>
      <c r="E57" s="10">
        <v>1404</v>
      </c>
      <c r="F57" s="10">
        <v>1400.05</v>
      </c>
      <c r="G57" s="10">
        <v>1387.75</v>
      </c>
      <c r="H57" s="10">
        <v>1384.85</v>
      </c>
      <c r="I57" s="10">
        <v>1401.3</v>
      </c>
      <c r="J57" s="10">
        <v>1440.7</v>
      </c>
      <c r="K57" s="10">
        <v>1529.2</v>
      </c>
      <c r="L57" s="10">
        <v>1325.68</v>
      </c>
      <c r="M57" s="10">
        <v>1341.43</v>
      </c>
      <c r="N57" s="10">
        <v>1349.79</v>
      </c>
      <c r="O57" s="10">
        <v>1358.75</v>
      </c>
      <c r="P57" s="10">
        <v>1363.64</v>
      </c>
      <c r="Q57" s="10">
        <v>1371.37</v>
      </c>
      <c r="R57" s="10">
        <v>1373.35</v>
      </c>
      <c r="S57" s="10">
        <v>1371.3</v>
      </c>
      <c r="T57" s="10">
        <v>1374.25</v>
      </c>
      <c r="U57" s="10">
        <v>1379.8</v>
      </c>
      <c r="W57" s="33"/>
      <c r="X57" s="33"/>
    </row>
    <row r="58" spans="1:24" x14ac:dyDescent="0.2">
      <c r="A58" s="6" t="s">
        <v>105</v>
      </c>
      <c r="B58" s="6">
        <v>84.45</v>
      </c>
      <c r="C58" s="6">
        <v>84.89</v>
      </c>
      <c r="D58" s="6">
        <v>85.27</v>
      </c>
      <c r="E58" s="6">
        <v>86.84</v>
      </c>
      <c r="F58" s="6">
        <v>85.18</v>
      </c>
      <c r="G58" s="6">
        <v>59.1</v>
      </c>
      <c r="H58" s="6">
        <v>84.89</v>
      </c>
      <c r="I58" s="6">
        <v>78.709999999999994</v>
      </c>
      <c r="J58" s="6">
        <v>66.06</v>
      </c>
      <c r="K58" s="6">
        <v>79.31</v>
      </c>
      <c r="L58" s="6">
        <v>89.6</v>
      </c>
      <c r="M58" s="6">
        <v>89.21</v>
      </c>
      <c r="N58" s="6">
        <v>89.09</v>
      </c>
      <c r="O58" s="6">
        <v>84.45</v>
      </c>
      <c r="P58" s="6">
        <v>80.95</v>
      </c>
      <c r="Q58" s="6">
        <v>81.11</v>
      </c>
      <c r="R58" s="6">
        <v>82.94</v>
      </c>
      <c r="S58" s="6">
        <v>84.89</v>
      </c>
      <c r="T58" s="6">
        <v>90.28</v>
      </c>
      <c r="U58" s="6">
        <v>85.97</v>
      </c>
      <c r="W58" s="33" t="s">
        <v>106</v>
      </c>
      <c r="X58" s="33"/>
    </row>
    <row r="59" spans="1:24" x14ac:dyDescent="0.2">
      <c r="A59" s="11" t="s">
        <v>82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W59" s="34" t="s">
        <v>1</v>
      </c>
      <c r="X59" s="34" t="s">
        <v>7</v>
      </c>
    </row>
    <row r="60" spans="1:24" x14ac:dyDescent="0.2">
      <c r="A60" s="7" t="s">
        <v>82</v>
      </c>
      <c r="B60" s="8">
        <v>2316.6999999999998</v>
      </c>
      <c r="C60" s="8">
        <v>1947.7</v>
      </c>
      <c r="D60" s="8">
        <v>1509.5</v>
      </c>
      <c r="E60" s="8">
        <v>1120.8</v>
      </c>
      <c r="F60" s="7">
        <v>797.6</v>
      </c>
      <c r="G60" s="7">
        <v>864</v>
      </c>
      <c r="H60" s="7">
        <v>591.9</v>
      </c>
      <c r="I60" s="7">
        <v>459.8</v>
      </c>
      <c r="J60" s="7">
        <v>204.2</v>
      </c>
      <c r="K60" s="7">
        <v>907.7</v>
      </c>
      <c r="L60" s="7">
        <v>588.79999999999995</v>
      </c>
      <c r="M60" s="7">
        <v>666.1</v>
      </c>
      <c r="N60" s="7">
        <v>580.79999999999995</v>
      </c>
      <c r="O60" s="7">
        <v>517.4</v>
      </c>
      <c r="P60" s="7">
        <v>585.6</v>
      </c>
      <c r="Q60" s="7">
        <v>684.4</v>
      </c>
      <c r="R60" s="7">
        <v>537.20000000000005</v>
      </c>
      <c r="S60" s="7">
        <v>468.3</v>
      </c>
      <c r="T60" s="7">
        <v>490.3</v>
      </c>
      <c r="U60" s="7">
        <v>534.4</v>
      </c>
      <c r="W60" s="42" t="s">
        <v>107</v>
      </c>
      <c r="X60" s="43">
        <v>1831</v>
      </c>
    </row>
    <row r="61" spans="1:24" x14ac:dyDescent="0.2">
      <c r="A61" s="2" t="s">
        <v>108</v>
      </c>
      <c r="B61" s="10">
        <v>1981.6</v>
      </c>
      <c r="C61" s="10">
        <v>1628.3</v>
      </c>
      <c r="D61" s="10">
        <v>1222.5999999999999</v>
      </c>
      <c r="E61" s="2">
        <v>866.1</v>
      </c>
      <c r="F61" s="2">
        <v>374.5</v>
      </c>
      <c r="G61" s="2">
        <v>487.2</v>
      </c>
      <c r="H61" s="2">
        <v>389.9</v>
      </c>
      <c r="I61" s="2">
        <v>296.5</v>
      </c>
      <c r="J61" s="2">
        <v>57.9</v>
      </c>
      <c r="K61" s="2">
        <v>777.4</v>
      </c>
      <c r="L61" s="2">
        <v>498.3</v>
      </c>
      <c r="M61" s="2">
        <v>575.1</v>
      </c>
      <c r="N61" s="2">
        <v>493.6</v>
      </c>
      <c r="O61" s="2">
        <v>433.6</v>
      </c>
      <c r="P61" s="2">
        <v>501.2</v>
      </c>
      <c r="Q61" s="2">
        <v>600.79999999999995</v>
      </c>
      <c r="R61" s="2">
        <v>454</v>
      </c>
      <c r="S61" s="2">
        <v>382.8</v>
      </c>
      <c r="T61" s="2">
        <v>411.8</v>
      </c>
      <c r="U61" s="2">
        <v>455.6</v>
      </c>
      <c r="W61" s="33" t="s">
        <v>109</v>
      </c>
      <c r="X61" s="33">
        <v>832</v>
      </c>
    </row>
    <row r="62" spans="1:24" x14ac:dyDescent="0.2">
      <c r="A62" s="6" t="s">
        <v>40</v>
      </c>
      <c r="B62" s="6">
        <v>335</v>
      </c>
      <c r="C62" s="6">
        <v>319.39999999999998</v>
      </c>
      <c r="D62" s="6">
        <v>286.8</v>
      </c>
      <c r="E62" s="6">
        <v>254.7</v>
      </c>
      <c r="F62" s="6">
        <v>423.1</v>
      </c>
      <c r="G62" s="6">
        <v>376.7</v>
      </c>
      <c r="H62" s="6">
        <v>202</v>
      </c>
      <c r="I62" s="6">
        <v>163.30000000000001</v>
      </c>
      <c r="J62" s="6">
        <v>146.4</v>
      </c>
      <c r="K62" s="6">
        <v>130.4</v>
      </c>
      <c r="L62" s="6">
        <v>90.5</v>
      </c>
      <c r="M62" s="6">
        <v>90.9</v>
      </c>
      <c r="N62" s="6">
        <v>87.2</v>
      </c>
      <c r="O62" s="6">
        <v>83.9</v>
      </c>
      <c r="P62" s="6">
        <v>84.3</v>
      </c>
      <c r="Q62" s="6">
        <v>83.6</v>
      </c>
      <c r="R62" s="6">
        <v>83.2</v>
      </c>
      <c r="S62" s="6">
        <v>85.5</v>
      </c>
      <c r="T62" s="6">
        <v>78.5</v>
      </c>
      <c r="U62" s="6">
        <v>78.8</v>
      </c>
      <c r="W62" s="35" t="s">
        <v>110</v>
      </c>
      <c r="X62" s="35">
        <v>121</v>
      </c>
    </row>
    <row r="63" spans="1:24" x14ac:dyDescent="0.2">
      <c r="A63" s="2" t="s">
        <v>111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W63" s="33" t="s">
        <v>112</v>
      </c>
      <c r="X63" s="33">
        <v>47</v>
      </c>
    </row>
    <row r="64" spans="1:24" x14ac:dyDescent="0.2">
      <c r="A64" s="6" t="s">
        <v>113</v>
      </c>
      <c r="B64" s="6">
        <v>608.1</v>
      </c>
      <c r="C64" s="6">
        <v>548.70000000000005</v>
      </c>
      <c r="D64" s="6">
        <v>500.4</v>
      </c>
      <c r="E64" s="6">
        <v>456.7</v>
      </c>
      <c r="F64" s="6">
        <v>371.8</v>
      </c>
      <c r="G64" s="6">
        <v>348.7</v>
      </c>
      <c r="H64" s="6">
        <v>297.60000000000002</v>
      </c>
      <c r="I64" s="6">
        <v>281.10000000000002</v>
      </c>
      <c r="J64" s="6">
        <v>257.8</v>
      </c>
      <c r="K64" s="6">
        <v>232.1</v>
      </c>
      <c r="L64" s="16" t="s">
        <v>59</v>
      </c>
      <c r="M64" s="16" t="s">
        <v>59</v>
      </c>
      <c r="N64" s="16" t="s">
        <v>59</v>
      </c>
      <c r="O64" s="16" t="s">
        <v>59</v>
      </c>
      <c r="P64" s="16" t="s">
        <v>59</v>
      </c>
      <c r="Q64" s="16" t="s">
        <v>59</v>
      </c>
      <c r="R64" s="16" t="s">
        <v>59</v>
      </c>
      <c r="S64" s="16" t="s">
        <v>59</v>
      </c>
      <c r="T64" s="16" t="s">
        <v>59</v>
      </c>
      <c r="U64" s="16" t="s">
        <v>59</v>
      </c>
      <c r="W64" s="42" t="s">
        <v>114</v>
      </c>
      <c r="X64" s="43">
        <v>1205</v>
      </c>
    </row>
    <row r="65" spans="1:24" x14ac:dyDescent="0.2">
      <c r="A65" s="2" t="s">
        <v>115</v>
      </c>
      <c r="B65" s="2">
        <v>110</v>
      </c>
      <c r="C65" s="2">
        <v>107.2</v>
      </c>
      <c r="D65" s="2">
        <v>84.9</v>
      </c>
      <c r="E65" s="2">
        <v>160</v>
      </c>
      <c r="F65" s="2">
        <v>69.900000000000006</v>
      </c>
      <c r="G65" s="2">
        <v>73.900000000000006</v>
      </c>
      <c r="H65" s="2">
        <v>51.5</v>
      </c>
      <c r="I65" s="2">
        <v>40.4</v>
      </c>
      <c r="J65" s="2">
        <v>36</v>
      </c>
      <c r="K65" s="2">
        <v>36.700000000000003</v>
      </c>
      <c r="L65" s="2">
        <v>15.4</v>
      </c>
      <c r="M65" s="2">
        <v>31.7</v>
      </c>
      <c r="N65" s="2">
        <v>31.8</v>
      </c>
      <c r="O65" s="2">
        <v>32.299999999999997</v>
      </c>
      <c r="P65" s="9">
        <v>-1.1000000000000001</v>
      </c>
      <c r="Q65" s="2">
        <v>38.9</v>
      </c>
      <c r="R65" s="2">
        <v>31.3</v>
      </c>
      <c r="S65" s="2">
        <v>25.5</v>
      </c>
      <c r="T65" s="2">
        <v>31.1</v>
      </c>
      <c r="U65" s="2">
        <v>27.2</v>
      </c>
      <c r="W65" s="33" t="s">
        <v>116</v>
      </c>
      <c r="X65" s="33">
        <v>238</v>
      </c>
    </row>
    <row r="66" spans="1:24" x14ac:dyDescent="0.2">
      <c r="A66" s="6" t="s">
        <v>117</v>
      </c>
      <c r="B66" s="6">
        <v>23.7</v>
      </c>
      <c r="C66" s="6">
        <v>24.2</v>
      </c>
      <c r="D66" s="6">
        <v>23.9</v>
      </c>
      <c r="E66" s="6">
        <v>19.7</v>
      </c>
      <c r="F66" s="13">
        <v>-21.1</v>
      </c>
      <c r="G66" s="6">
        <v>23.6</v>
      </c>
      <c r="H66" s="6">
        <v>34.200000000000003</v>
      </c>
      <c r="I66" s="6">
        <v>36.1</v>
      </c>
      <c r="J66" s="6">
        <v>40.799999999999997</v>
      </c>
      <c r="K66" s="6">
        <v>38.200000000000003</v>
      </c>
      <c r="L66" s="6">
        <v>23.1</v>
      </c>
      <c r="M66" s="6">
        <v>24.5</v>
      </c>
      <c r="N66" s="6">
        <v>22.9</v>
      </c>
      <c r="O66" s="6">
        <v>24.4</v>
      </c>
      <c r="P66" s="6">
        <v>22.9</v>
      </c>
      <c r="Q66" s="6">
        <v>25</v>
      </c>
      <c r="R66" s="6">
        <v>22</v>
      </c>
      <c r="S66" s="6">
        <v>26.2</v>
      </c>
      <c r="T66" s="6">
        <v>24.2</v>
      </c>
      <c r="U66" s="6">
        <v>23.8</v>
      </c>
      <c r="W66" s="35" t="s">
        <v>118</v>
      </c>
      <c r="X66" s="45">
        <v>9323</v>
      </c>
    </row>
    <row r="67" spans="1:24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W67" s="33" t="s">
        <v>119</v>
      </c>
      <c r="X67" s="33">
        <v>0</v>
      </c>
    </row>
    <row r="68" spans="1:24" x14ac:dyDescent="0.2">
      <c r="A68" s="6" t="s">
        <v>120</v>
      </c>
      <c r="B68" s="6" t="s">
        <v>1</v>
      </c>
      <c r="C68" s="6" t="s">
        <v>1</v>
      </c>
      <c r="D68" s="6" t="s">
        <v>1</v>
      </c>
      <c r="E68" s="6" t="s">
        <v>1</v>
      </c>
      <c r="F68" s="6" t="s">
        <v>1</v>
      </c>
      <c r="G68" s="6" t="s">
        <v>1</v>
      </c>
      <c r="H68" s="6" t="s">
        <v>1</v>
      </c>
      <c r="I68" s="6" t="s">
        <v>1</v>
      </c>
      <c r="J68" s="6" t="s">
        <v>1</v>
      </c>
      <c r="K68" s="6" t="s">
        <v>1</v>
      </c>
      <c r="L68" s="6" t="s">
        <v>1</v>
      </c>
      <c r="M68" s="6" t="s">
        <v>1</v>
      </c>
      <c r="N68" s="6" t="s">
        <v>1</v>
      </c>
      <c r="O68" s="6" t="s">
        <v>1</v>
      </c>
      <c r="P68" s="6" t="s">
        <v>1</v>
      </c>
      <c r="Q68" s="6" t="s">
        <v>1</v>
      </c>
      <c r="R68" s="6" t="s">
        <v>1</v>
      </c>
      <c r="S68" s="6" t="s">
        <v>1</v>
      </c>
      <c r="T68" s="6" t="s">
        <v>1</v>
      </c>
      <c r="U68" s="6" t="s">
        <v>1</v>
      </c>
      <c r="W68" s="35" t="s">
        <v>121</v>
      </c>
      <c r="X68" s="35">
        <v>0</v>
      </c>
    </row>
    <row r="69" spans="1:24" x14ac:dyDescent="0.2">
      <c r="A69" s="2" t="s">
        <v>120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W69" s="33" t="s">
        <v>122</v>
      </c>
      <c r="X69" s="33">
        <v>0</v>
      </c>
    </row>
    <row r="70" spans="1:24" x14ac:dyDescent="0.2">
      <c r="A70" s="7" t="s">
        <v>123</v>
      </c>
      <c r="B70" s="7" t="s">
        <v>1</v>
      </c>
      <c r="C70" s="7" t="s">
        <v>1</v>
      </c>
      <c r="D70" s="7" t="s">
        <v>1</v>
      </c>
      <c r="E70" s="7" t="s">
        <v>1</v>
      </c>
      <c r="F70" s="7" t="s">
        <v>1</v>
      </c>
      <c r="G70" s="7" t="s">
        <v>1</v>
      </c>
      <c r="H70" s="7" t="s">
        <v>1</v>
      </c>
      <c r="I70" s="7" t="s">
        <v>1</v>
      </c>
      <c r="J70" s="7" t="s">
        <v>1</v>
      </c>
      <c r="K70" s="7" t="s">
        <v>1</v>
      </c>
      <c r="L70" s="7" t="s">
        <v>1</v>
      </c>
      <c r="M70" s="7" t="s">
        <v>1</v>
      </c>
      <c r="N70" s="7" t="s">
        <v>1</v>
      </c>
      <c r="O70" s="7" t="s">
        <v>1</v>
      </c>
      <c r="P70" s="7" t="s">
        <v>1</v>
      </c>
      <c r="Q70" s="7" t="s">
        <v>1</v>
      </c>
      <c r="R70" s="7" t="s">
        <v>1</v>
      </c>
      <c r="S70" s="7" t="s">
        <v>1</v>
      </c>
      <c r="T70" s="7" t="s">
        <v>1</v>
      </c>
      <c r="U70" s="7" t="s">
        <v>1</v>
      </c>
      <c r="W70" s="35" t="s">
        <v>124</v>
      </c>
      <c r="X70" s="35">
        <v>22</v>
      </c>
    </row>
    <row r="71" spans="1:24" x14ac:dyDescent="0.2">
      <c r="A71" s="11" t="s">
        <v>125</v>
      </c>
      <c r="B71" s="19">
        <v>1423</v>
      </c>
      <c r="C71" s="19">
        <v>1295</v>
      </c>
      <c r="D71" s="11">
        <v>899</v>
      </c>
      <c r="E71" s="19">
        <v>1076</v>
      </c>
      <c r="F71" s="11">
        <v>952</v>
      </c>
      <c r="G71" s="11">
        <v>881</v>
      </c>
      <c r="H71" s="11">
        <v>677</v>
      </c>
      <c r="I71" s="11">
        <v>509</v>
      </c>
      <c r="J71" s="11">
        <v>418</v>
      </c>
      <c r="K71" s="11">
        <v>663</v>
      </c>
      <c r="L71" s="19">
        <v>1421</v>
      </c>
      <c r="M71" s="19">
        <v>1546</v>
      </c>
      <c r="N71" s="19">
        <v>1415</v>
      </c>
      <c r="O71" s="19">
        <v>1423</v>
      </c>
      <c r="P71" s="19">
        <v>1367</v>
      </c>
      <c r="Q71" s="19">
        <v>1490</v>
      </c>
      <c r="R71" s="19">
        <v>1420</v>
      </c>
      <c r="S71" s="19">
        <v>1295</v>
      </c>
      <c r="T71" s="19">
        <v>1454</v>
      </c>
      <c r="U71" s="19">
        <v>1356</v>
      </c>
      <c r="W71" s="33" t="s">
        <v>126</v>
      </c>
      <c r="X71" s="33">
        <v>269</v>
      </c>
    </row>
    <row r="72" spans="1:24" x14ac:dyDescent="0.2">
      <c r="A72" s="6" t="s">
        <v>127</v>
      </c>
      <c r="B72" s="6">
        <v>749</v>
      </c>
      <c r="C72" s="6">
        <v>561</v>
      </c>
      <c r="D72" s="6">
        <v>384</v>
      </c>
      <c r="E72" s="6">
        <v>815</v>
      </c>
      <c r="F72" s="6">
        <v>608</v>
      </c>
      <c r="G72" s="6">
        <v>481</v>
      </c>
      <c r="H72" s="6">
        <v>250</v>
      </c>
      <c r="I72" s="6">
        <v>185</v>
      </c>
      <c r="J72" s="6">
        <v>88</v>
      </c>
      <c r="K72" s="6">
        <v>248</v>
      </c>
      <c r="L72" s="6">
        <v>699</v>
      </c>
      <c r="M72" s="6">
        <v>845</v>
      </c>
      <c r="N72" s="6">
        <v>726</v>
      </c>
      <c r="O72" s="6">
        <v>749</v>
      </c>
      <c r="P72" s="6">
        <v>699</v>
      </c>
      <c r="Q72" s="6">
        <v>807</v>
      </c>
      <c r="R72" s="6">
        <v>727</v>
      </c>
      <c r="S72" s="6">
        <v>561</v>
      </c>
      <c r="T72" s="6">
        <v>602</v>
      </c>
      <c r="U72" s="6">
        <v>505</v>
      </c>
      <c r="W72" s="35" t="s">
        <v>128</v>
      </c>
      <c r="X72" s="35">
        <v>697</v>
      </c>
    </row>
    <row r="73" spans="1:24" x14ac:dyDescent="0.2">
      <c r="A73" s="2" t="s">
        <v>129</v>
      </c>
      <c r="B73" s="2">
        <v>674</v>
      </c>
      <c r="C73" s="2">
        <v>735</v>
      </c>
      <c r="D73" s="2">
        <v>515</v>
      </c>
      <c r="E73" s="2">
        <v>261</v>
      </c>
      <c r="F73" s="2">
        <v>344</v>
      </c>
      <c r="G73" s="2">
        <v>400</v>
      </c>
      <c r="H73" s="2">
        <v>427</v>
      </c>
      <c r="I73" s="2">
        <v>324</v>
      </c>
      <c r="J73" s="2">
        <v>330</v>
      </c>
      <c r="K73" s="2">
        <v>415</v>
      </c>
      <c r="L73" s="2">
        <v>723</v>
      </c>
      <c r="M73" s="2">
        <v>702</v>
      </c>
      <c r="N73" s="2">
        <v>689</v>
      </c>
      <c r="O73" s="2">
        <v>674</v>
      </c>
      <c r="P73" s="2">
        <v>669</v>
      </c>
      <c r="Q73" s="2">
        <v>683</v>
      </c>
      <c r="R73" s="2">
        <v>692</v>
      </c>
      <c r="S73" s="2">
        <v>735</v>
      </c>
      <c r="T73" s="2">
        <v>852</v>
      </c>
      <c r="U73" s="2">
        <v>851</v>
      </c>
      <c r="W73" s="33" t="s">
        <v>130</v>
      </c>
      <c r="X73" s="44">
        <v>3168</v>
      </c>
    </row>
    <row r="74" spans="1:24" x14ac:dyDescent="0.2">
      <c r="A74" s="7" t="s">
        <v>131</v>
      </c>
      <c r="B74" s="7">
        <v>211</v>
      </c>
      <c r="C74" s="7">
        <v>168</v>
      </c>
      <c r="D74" s="7">
        <v>155</v>
      </c>
      <c r="E74" s="7">
        <v>194</v>
      </c>
      <c r="F74" s="7">
        <v>387</v>
      </c>
      <c r="G74" s="7">
        <v>108</v>
      </c>
      <c r="H74" s="7">
        <v>62</v>
      </c>
      <c r="I74" s="7">
        <v>50</v>
      </c>
      <c r="J74" s="7">
        <v>46</v>
      </c>
      <c r="K74" s="7">
        <v>96</v>
      </c>
      <c r="L74" s="7">
        <v>206</v>
      </c>
      <c r="M74" s="7">
        <v>186</v>
      </c>
      <c r="N74" s="7">
        <v>102</v>
      </c>
      <c r="O74" s="7">
        <v>211</v>
      </c>
      <c r="P74" s="7">
        <v>175</v>
      </c>
      <c r="Q74" s="7">
        <v>169</v>
      </c>
      <c r="R74" s="7">
        <v>90</v>
      </c>
      <c r="S74" s="7">
        <v>168</v>
      </c>
      <c r="T74" s="7">
        <v>71</v>
      </c>
      <c r="U74" s="7">
        <v>61</v>
      </c>
      <c r="W74" s="35" t="s">
        <v>132</v>
      </c>
      <c r="X74" s="39" t="s">
        <v>59</v>
      </c>
    </row>
    <row r="75" spans="1:24" x14ac:dyDescent="0.2">
      <c r="A75" s="11" t="s">
        <v>133</v>
      </c>
      <c r="B75" s="11">
        <v>144</v>
      </c>
      <c r="C75" s="11">
        <v>116</v>
      </c>
      <c r="D75" s="11">
        <v>107</v>
      </c>
      <c r="E75" s="11">
        <v>100</v>
      </c>
      <c r="F75" s="11">
        <v>105</v>
      </c>
      <c r="G75" s="11">
        <v>81</v>
      </c>
      <c r="H75" s="11">
        <v>62</v>
      </c>
      <c r="I75" s="11">
        <v>40</v>
      </c>
      <c r="J75" s="11">
        <v>40</v>
      </c>
      <c r="K75" s="11">
        <v>38</v>
      </c>
      <c r="L75" s="11">
        <v>96</v>
      </c>
      <c r="M75" s="11">
        <v>105</v>
      </c>
      <c r="N75" s="11">
        <v>102</v>
      </c>
      <c r="O75" s="11">
        <v>144</v>
      </c>
      <c r="P75" s="11">
        <v>93</v>
      </c>
      <c r="Q75" s="11">
        <v>98</v>
      </c>
      <c r="R75" s="11">
        <v>90</v>
      </c>
      <c r="S75" s="11">
        <v>116</v>
      </c>
      <c r="T75" s="11">
        <v>71</v>
      </c>
      <c r="U75" s="11">
        <v>61</v>
      </c>
      <c r="W75" s="33"/>
      <c r="X75" s="33"/>
    </row>
    <row r="76" spans="1:24" x14ac:dyDescent="0.2">
      <c r="A76" s="6" t="s">
        <v>134</v>
      </c>
      <c r="B76" s="6">
        <v>144</v>
      </c>
      <c r="C76" s="6">
        <v>116</v>
      </c>
      <c r="D76" s="6">
        <v>107</v>
      </c>
      <c r="E76" s="6">
        <v>100</v>
      </c>
      <c r="F76" s="6">
        <v>106</v>
      </c>
      <c r="G76" s="6">
        <v>81</v>
      </c>
      <c r="H76" s="6">
        <v>62</v>
      </c>
      <c r="I76" s="6">
        <v>40</v>
      </c>
      <c r="J76" s="6">
        <v>41</v>
      </c>
      <c r="K76" s="6">
        <v>39</v>
      </c>
      <c r="L76" s="6">
        <v>96</v>
      </c>
      <c r="M76" s="6">
        <v>105</v>
      </c>
      <c r="N76" s="6">
        <v>102</v>
      </c>
      <c r="O76" s="6">
        <v>144</v>
      </c>
      <c r="P76" s="6">
        <v>93</v>
      </c>
      <c r="Q76" s="6">
        <v>98</v>
      </c>
      <c r="R76" s="6">
        <v>90</v>
      </c>
      <c r="S76" s="6">
        <v>116</v>
      </c>
      <c r="T76" s="6">
        <v>71</v>
      </c>
      <c r="U76" s="6">
        <v>61</v>
      </c>
      <c r="W76" s="33" t="s">
        <v>135</v>
      </c>
      <c r="X76" s="33"/>
    </row>
    <row r="77" spans="1:24" x14ac:dyDescent="0.2">
      <c r="A77" s="2" t="s">
        <v>136</v>
      </c>
      <c r="B77" s="15" t="s">
        <v>59</v>
      </c>
      <c r="C77" s="15" t="s">
        <v>59</v>
      </c>
      <c r="D77" s="15" t="s">
        <v>59</v>
      </c>
      <c r="E77" s="15" t="s">
        <v>59</v>
      </c>
      <c r="F77" s="9">
        <v>-2</v>
      </c>
      <c r="G77" s="9">
        <v>0</v>
      </c>
      <c r="H77" s="2">
        <v>0</v>
      </c>
      <c r="I77" s="2">
        <v>0</v>
      </c>
      <c r="J77" s="9">
        <v>0</v>
      </c>
      <c r="K77" s="9">
        <v>-1</v>
      </c>
      <c r="L77" s="15" t="s">
        <v>59</v>
      </c>
      <c r="M77" s="15" t="s">
        <v>59</v>
      </c>
      <c r="N77" s="15" t="s">
        <v>59</v>
      </c>
      <c r="O77" s="15" t="s">
        <v>59</v>
      </c>
      <c r="P77" s="15" t="s">
        <v>59</v>
      </c>
      <c r="Q77" s="15" t="s">
        <v>59</v>
      </c>
      <c r="R77" s="15" t="s">
        <v>59</v>
      </c>
      <c r="S77" s="15" t="s">
        <v>59</v>
      </c>
      <c r="T77" s="15" t="s">
        <v>59</v>
      </c>
      <c r="U77" s="15" t="s">
        <v>59</v>
      </c>
      <c r="W77" s="34" t="s">
        <v>1</v>
      </c>
      <c r="X77" s="34" t="s">
        <v>7</v>
      </c>
    </row>
    <row r="78" spans="1:24" x14ac:dyDescent="0.2">
      <c r="A78" s="6" t="s">
        <v>137</v>
      </c>
      <c r="B78" s="6">
        <v>67</v>
      </c>
      <c r="C78" s="6">
        <v>53</v>
      </c>
      <c r="D78" s="6">
        <v>48</v>
      </c>
      <c r="E78" s="6">
        <v>94</v>
      </c>
      <c r="F78" s="6">
        <v>283</v>
      </c>
      <c r="G78" s="6">
        <v>28</v>
      </c>
      <c r="H78" s="6">
        <v>0</v>
      </c>
      <c r="I78" s="6">
        <v>9</v>
      </c>
      <c r="J78" s="6">
        <v>5</v>
      </c>
      <c r="K78" s="6">
        <v>58</v>
      </c>
      <c r="L78" s="6">
        <v>110</v>
      </c>
      <c r="M78" s="6">
        <v>81</v>
      </c>
      <c r="N78" s="6">
        <v>0</v>
      </c>
      <c r="O78" s="6">
        <v>67</v>
      </c>
      <c r="P78" s="6">
        <v>82</v>
      </c>
      <c r="Q78" s="6">
        <v>72</v>
      </c>
      <c r="R78" s="6">
        <v>0</v>
      </c>
      <c r="S78" s="6">
        <v>53</v>
      </c>
      <c r="T78" s="6">
        <v>0</v>
      </c>
      <c r="U78" s="6">
        <v>0</v>
      </c>
      <c r="W78" s="35" t="s">
        <v>138</v>
      </c>
      <c r="X78" s="35">
        <v>652</v>
      </c>
    </row>
    <row r="79" spans="1:24" x14ac:dyDescent="0.2">
      <c r="A79" s="11" t="s">
        <v>112</v>
      </c>
      <c r="B79" s="11">
        <v>49</v>
      </c>
      <c r="C79" s="11">
        <v>39</v>
      </c>
      <c r="D79" s="11">
        <v>36</v>
      </c>
      <c r="E79" s="11">
        <v>33</v>
      </c>
      <c r="F79" s="11">
        <v>26</v>
      </c>
      <c r="G79" s="11">
        <v>26</v>
      </c>
      <c r="H79" s="11">
        <v>22</v>
      </c>
      <c r="I79" s="11">
        <v>20</v>
      </c>
      <c r="J79" s="11">
        <v>15</v>
      </c>
      <c r="K79" s="11">
        <v>15</v>
      </c>
      <c r="L79" s="11">
        <v>46</v>
      </c>
      <c r="M79" s="11">
        <v>40</v>
      </c>
      <c r="N79" s="11">
        <v>41</v>
      </c>
      <c r="O79" s="11">
        <v>49</v>
      </c>
      <c r="P79" s="11">
        <v>50</v>
      </c>
      <c r="Q79" s="11">
        <v>36</v>
      </c>
      <c r="R79" s="11">
        <v>38</v>
      </c>
      <c r="S79" s="11">
        <v>39</v>
      </c>
      <c r="T79" s="11">
        <v>40</v>
      </c>
      <c r="U79" s="11">
        <v>36</v>
      </c>
      <c r="W79" s="33" t="s">
        <v>139</v>
      </c>
      <c r="X79" s="38" t="s">
        <v>59</v>
      </c>
    </row>
    <row r="80" spans="1:24" x14ac:dyDescent="0.2">
      <c r="A80" s="6" t="s">
        <v>140</v>
      </c>
      <c r="B80" s="6">
        <v>49</v>
      </c>
      <c r="C80" s="6">
        <v>39</v>
      </c>
      <c r="D80" s="6">
        <v>36</v>
      </c>
      <c r="E80" s="16" t="s">
        <v>59</v>
      </c>
      <c r="F80" s="16" t="s">
        <v>59</v>
      </c>
      <c r="G80" s="16" t="s">
        <v>59</v>
      </c>
      <c r="H80" s="16" t="s">
        <v>59</v>
      </c>
      <c r="I80" s="16" t="s">
        <v>59</v>
      </c>
      <c r="J80" s="16" t="s">
        <v>59</v>
      </c>
      <c r="K80" s="16" t="s">
        <v>59</v>
      </c>
      <c r="L80" s="16" t="s">
        <v>59</v>
      </c>
      <c r="M80" s="16" t="s">
        <v>59</v>
      </c>
      <c r="N80" s="16" t="s">
        <v>59</v>
      </c>
      <c r="O80" s="6">
        <v>49</v>
      </c>
      <c r="P80" s="16" t="s">
        <v>59</v>
      </c>
      <c r="Q80" s="16" t="s">
        <v>59</v>
      </c>
      <c r="R80" s="16" t="s">
        <v>59</v>
      </c>
      <c r="S80" s="6">
        <v>39</v>
      </c>
      <c r="T80" s="16" t="s">
        <v>59</v>
      </c>
      <c r="U80" s="16" t="s">
        <v>59</v>
      </c>
      <c r="W80" s="35" t="s">
        <v>141</v>
      </c>
      <c r="X80" s="45">
        <v>1567</v>
      </c>
    </row>
    <row r="81" spans="1:24" x14ac:dyDescent="0.2">
      <c r="A81" s="11" t="s">
        <v>142</v>
      </c>
      <c r="B81" s="11">
        <v>98</v>
      </c>
      <c r="C81" s="11">
        <v>117</v>
      </c>
      <c r="D81" s="11">
        <v>86</v>
      </c>
      <c r="E81" s="11">
        <v>79</v>
      </c>
      <c r="F81" s="11">
        <v>55</v>
      </c>
      <c r="G81" s="11">
        <v>57</v>
      </c>
      <c r="H81" s="11">
        <v>54</v>
      </c>
      <c r="I81" s="11">
        <v>51</v>
      </c>
      <c r="J81" s="11">
        <v>44</v>
      </c>
      <c r="K81" s="11">
        <v>40</v>
      </c>
      <c r="L81" s="11">
        <v>101</v>
      </c>
      <c r="M81" s="11">
        <v>97</v>
      </c>
      <c r="N81" s="11">
        <v>104</v>
      </c>
      <c r="O81" s="11">
        <v>98</v>
      </c>
      <c r="P81" s="11">
        <v>88</v>
      </c>
      <c r="Q81" s="11">
        <v>92</v>
      </c>
      <c r="R81" s="11">
        <v>98</v>
      </c>
      <c r="S81" s="11">
        <v>117</v>
      </c>
      <c r="T81" s="11">
        <v>104</v>
      </c>
      <c r="U81" s="11">
        <v>103</v>
      </c>
      <c r="W81" s="33" t="s">
        <v>143</v>
      </c>
      <c r="X81" s="44">
        <v>2273</v>
      </c>
    </row>
    <row r="82" spans="1:24" x14ac:dyDescent="0.2">
      <c r="A82" s="6" t="s">
        <v>144</v>
      </c>
      <c r="B82" s="6">
        <v>80</v>
      </c>
      <c r="C82" s="6">
        <v>98</v>
      </c>
      <c r="D82" s="16" t="s">
        <v>59</v>
      </c>
      <c r="E82" s="16" t="s">
        <v>59</v>
      </c>
      <c r="F82" s="16" t="s">
        <v>59</v>
      </c>
      <c r="G82" s="16" t="s">
        <v>59</v>
      </c>
      <c r="H82" s="16" t="s">
        <v>59</v>
      </c>
      <c r="I82" s="16" t="s">
        <v>59</v>
      </c>
      <c r="J82" s="16" t="s">
        <v>59</v>
      </c>
      <c r="K82" s="16" t="s">
        <v>59</v>
      </c>
      <c r="L82" s="16" t="s">
        <v>59</v>
      </c>
      <c r="M82" s="16" t="s">
        <v>59</v>
      </c>
      <c r="N82" s="16" t="s">
        <v>59</v>
      </c>
      <c r="O82" s="6">
        <v>80</v>
      </c>
      <c r="P82" s="16" t="s">
        <v>59</v>
      </c>
      <c r="Q82" s="16" t="s">
        <v>59</v>
      </c>
      <c r="R82" s="16" t="s">
        <v>59</v>
      </c>
      <c r="S82" s="6">
        <v>98</v>
      </c>
      <c r="T82" s="16" t="s">
        <v>59</v>
      </c>
      <c r="U82" s="16" t="s">
        <v>59</v>
      </c>
      <c r="W82" s="35" t="s">
        <v>145</v>
      </c>
      <c r="X82" s="36">
        <v>-215</v>
      </c>
    </row>
    <row r="83" spans="1:24" x14ac:dyDescent="0.2">
      <c r="A83" s="2" t="s">
        <v>146</v>
      </c>
      <c r="B83" s="2">
        <v>17</v>
      </c>
      <c r="C83" s="2">
        <v>20</v>
      </c>
      <c r="D83" s="2">
        <v>86</v>
      </c>
      <c r="E83" s="2">
        <v>79</v>
      </c>
      <c r="F83" s="2">
        <v>55</v>
      </c>
      <c r="G83" s="2">
        <v>57</v>
      </c>
      <c r="H83" s="2">
        <v>54</v>
      </c>
      <c r="I83" s="2">
        <v>51</v>
      </c>
      <c r="J83" s="2">
        <v>44</v>
      </c>
      <c r="K83" s="2">
        <v>40</v>
      </c>
      <c r="L83" s="2">
        <v>101</v>
      </c>
      <c r="M83" s="2">
        <v>97</v>
      </c>
      <c r="N83" s="2">
        <v>104</v>
      </c>
      <c r="O83" s="2">
        <v>17</v>
      </c>
      <c r="P83" s="2">
        <v>88</v>
      </c>
      <c r="Q83" s="2">
        <v>92</v>
      </c>
      <c r="R83" s="2">
        <v>98</v>
      </c>
      <c r="S83" s="2">
        <v>20</v>
      </c>
      <c r="T83" s="2">
        <v>104</v>
      </c>
      <c r="U83" s="2">
        <v>103</v>
      </c>
      <c r="W83" s="46" t="s">
        <v>147</v>
      </c>
      <c r="X83" s="47">
        <v>-2197</v>
      </c>
    </row>
    <row r="84" spans="1:24" x14ac:dyDescent="0.2">
      <c r="A84" s="7" t="s">
        <v>148</v>
      </c>
      <c r="B84" s="20">
        <v>1781</v>
      </c>
      <c r="C84" s="20">
        <v>1621</v>
      </c>
      <c r="D84" s="20">
        <v>1176</v>
      </c>
      <c r="E84" s="20">
        <v>1382</v>
      </c>
      <c r="F84" s="20">
        <v>1420</v>
      </c>
      <c r="G84" s="20">
        <v>1072</v>
      </c>
      <c r="H84" s="7">
        <v>815</v>
      </c>
      <c r="I84" s="7">
        <v>630</v>
      </c>
      <c r="J84" s="7">
        <v>522</v>
      </c>
      <c r="K84" s="7">
        <v>815</v>
      </c>
      <c r="L84" s="20">
        <v>1774</v>
      </c>
      <c r="M84" s="20">
        <v>1869</v>
      </c>
      <c r="N84" s="20">
        <v>1662</v>
      </c>
      <c r="O84" s="20">
        <v>1781</v>
      </c>
      <c r="P84" s="20">
        <v>1680</v>
      </c>
      <c r="Q84" s="20">
        <v>1786</v>
      </c>
      <c r="R84" s="20">
        <v>1646</v>
      </c>
      <c r="S84" s="20">
        <v>1621</v>
      </c>
      <c r="T84" s="20">
        <v>1669</v>
      </c>
      <c r="U84" s="20">
        <v>1556</v>
      </c>
      <c r="W84" s="35" t="s">
        <v>149</v>
      </c>
      <c r="X84" s="45">
        <v>1967</v>
      </c>
    </row>
    <row r="85" spans="1:24" x14ac:dyDescent="0.2">
      <c r="A85" s="2" t="s">
        <v>35</v>
      </c>
      <c r="B85" s="2">
        <v>9.86</v>
      </c>
      <c r="C85" s="2">
        <v>37.83</v>
      </c>
      <c r="D85" s="9">
        <v>-14.89</v>
      </c>
      <c r="E85" s="9">
        <v>-2.72</v>
      </c>
      <c r="F85" s="2">
        <v>32.46</v>
      </c>
      <c r="G85" s="2">
        <v>31.59</v>
      </c>
      <c r="H85" s="2">
        <v>29.43</v>
      </c>
      <c r="I85" s="2">
        <v>20.51</v>
      </c>
      <c r="J85" s="9">
        <v>-35.880000000000003</v>
      </c>
      <c r="K85" s="9">
        <v>-7.27</v>
      </c>
      <c r="L85" s="2">
        <v>5.57</v>
      </c>
      <c r="M85" s="2">
        <v>4.6399999999999997</v>
      </c>
      <c r="N85" s="2">
        <v>0.96</v>
      </c>
      <c r="O85" s="2">
        <v>9.86</v>
      </c>
      <c r="P85" s="2">
        <v>0.65</v>
      </c>
      <c r="Q85" s="2">
        <v>14.77</v>
      </c>
      <c r="R85" s="2">
        <v>30.47</v>
      </c>
      <c r="S85" s="2">
        <v>37.83</v>
      </c>
      <c r="T85" s="2">
        <v>54.94</v>
      </c>
      <c r="U85" s="2">
        <v>48.75</v>
      </c>
      <c r="W85" s="33"/>
      <c r="X85" s="33"/>
    </row>
    <row r="86" spans="1:24" x14ac:dyDescent="0.2">
      <c r="A86" s="6" t="s">
        <v>150</v>
      </c>
      <c r="B86" s="6">
        <v>16.940000000000001</v>
      </c>
      <c r="C86" s="6">
        <v>17.61</v>
      </c>
      <c r="D86" s="6">
        <v>14.72</v>
      </c>
      <c r="E86" s="6">
        <v>18.07</v>
      </c>
      <c r="F86" s="6">
        <v>20.63</v>
      </c>
      <c r="G86" s="6">
        <v>18.12</v>
      </c>
      <c r="H86" s="6">
        <v>33.9</v>
      </c>
      <c r="I86" s="6">
        <v>28.72</v>
      </c>
      <c r="J86" s="6">
        <v>23.53</v>
      </c>
      <c r="K86" s="6">
        <v>28.14</v>
      </c>
      <c r="L86" s="6">
        <v>19.11</v>
      </c>
      <c r="M86" s="6">
        <v>20.170000000000002</v>
      </c>
      <c r="N86" s="6">
        <v>18.37</v>
      </c>
      <c r="O86" s="6">
        <v>16.940000000000001</v>
      </c>
      <c r="P86" s="6">
        <v>18.649999999999999</v>
      </c>
      <c r="Q86" s="6">
        <v>20.03</v>
      </c>
      <c r="R86" s="6">
        <v>19.57</v>
      </c>
      <c r="S86" s="6">
        <v>17.61</v>
      </c>
      <c r="T86" s="6">
        <v>21.1</v>
      </c>
      <c r="U86" s="6">
        <v>20.61</v>
      </c>
      <c r="W86" s="33" t="s">
        <v>93</v>
      </c>
      <c r="X86" s="33"/>
    </row>
    <row r="87" spans="1:24" x14ac:dyDescent="0.2">
      <c r="A87" s="11" t="s">
        <v>151</v>
      </c>
      <c r="B87" s="19">
        <v>6390</v>
      </c>
      <c r="C87" s="19">
        <v>5749</v>
      </c>
      <c r="D87" s="19">
        <v>5254</v>
      </c>
      <c r="E87" s="19">
        <v>4888</v>
      </c>
      <c r="F87" s="19">
        <v>4351</v>
      </c>
      <c r="G87" s="19">
        <v>3964</v>
      </c>
      <c r="H87" s="19">
        <v>1379</v>
      </c>
      <c r="I87" s="19">
        <v>1338</v>
      </c>
      <c r="J87" s="19">
        <v>1304</v>
      </c>
      <c r="K87" s="19">
        <v>1217</v>
      </c>
      <c r="L87" s="19">
        <v>6979</v>
      </c>
      <c r="M87" s="19">
        <v>6707</v>
      </c>
      <c r="N87" s="19">
        <v>6513</v>
      </c>
      <c r="O87" s="19">
        <v>6390</v>
      </c>
      <c r="P87" s="19">
        <v>6275</v>
      </c>
      <c r="Q87" s="19">
        <v>6037</v>
      </c>
      <c r="R87" s="19">
        <v>5874</v>
      </c>
      <c r="S87" s="19">
        <v>5749</v>
      </c>
      <c r="T87" s="19">
        <v>5649</v>
      </c>
      <c r="U87" s="19">
        <v>5456</v>
      </c>
      <c r="W87" s="34" t="s">
        <v>1</v>
      </c>
      <c r="X87" s="34" t="s">
        <v>7</v>
      </c>
    </row>
    <row r="88" spans="1:24" x14ac:dyDescent="0.2">
      <c r="A88" s="7" t="s">
        <v>152</v>
      </c>
      <c r="B88" s="20">
        <v>8640</v>
      </c>
      <c r="C88" s="20">
        <v>7731</v>
      </c>
      <c r="D88" s="20">
        <v>6988</v>
      </c>
      <c r="E88" s="20">
        <v>6424</v>
      </c>
      <c r="F88" s="20">
        <v>5731</v>
      </c>
      <c r="G88" s="20">
        <v>5166</v>
      </c>
      <c r="H88" s="20">
        <v>2463</v>
      </c>
      <c r="I88" s="20">
        <v>2317</v>
      </c>
      <c r="J88" s="20">
        <v>2149</v>
      </c>
      <c r="K88" s="20">
        <v>1938</v>
      </c>
      <c r="L88" s="14" t="s">
        <v>59</v>
      </c>
      <c r="M88" s="14" t="s">
        <v>59</v>
      </c>
      <c r="N88" s="14" t="s">
        <v>59</v>
      </c>
      <c r="O88" s="20">
        <v>8640</v>
      </c>
      <c r="P88" s="14" t="s">
        <v>59</v>
      </c>
      <c r="Q88" s="14" t="s">
        <v>59</v>
      </c>
      <c r="R88" s="14" t="s">
        <v>59</v>
      </c>
      <c r="S88" s="20">
        <v>7731</v>
      </c>
      <c r="T88" s="14" t="s">
        <v>59</v>
      </c>
      <c r="U88" s="14" t="s">
        <v>59</v>
      </c>
      <c r="W88" s="35" t="s">
        <v>10</v>
      </c>
      <c r="X88" s="35">
        <v>1.1599999999999999</v>
      </c>
    </row>
    <row r="89" spans="1:24" x14ac:dyDescent="0.2">
      <c r="A89" s="2" t="s">
        <v>153</v>
      </c>
      <c r="B89" s="21">
        <v>2918</v>
      </c>
      <c r="C89" s="21">
        <v>2596</v>
      </c>
      <c r="D89" s="21">
        <v>2317</v>
      </c>
      <c r="E89" s="21">
        <v>2094</v>
      </c>
      <c r="F89" s="21">
        <v>1921</v>
      </c>
      <c r="G89" s="21">
        <v>1765</v>
      </c>
      <c r="H89" s="21">
        <v>1690</v>
      </c>
      <c r="I89" s="21">
        <v>1635</v>
      </c>
      <c r="J89" s="21">
        <v>1573</v>
      </c>
      <c r="K89" s="21">
        <v>1419</v>
      </c>
      <c r="L89" s="15" t="s">
        <v>59</v>
      </c>
      <c r="M89" s="15" t="s">
        <v>59</v>
      </c>
      <c r="N89" s="15" t="s">
        <v>59</v>
      </c>
      <c r="O89" s="21">
        <v>2918</v>
      </c>
      <c r="P89" s="15" t="s">
        <v>59</v>
      </c>
      <c r="Q89" s="15" t="s">
        <v>59</v>
      </c>
      <c r="R89" s="15" t="s">
        <v>59</v>
      </c>
      <c r="S89" s="21">
        <v>2596</v>
      </c>
      <c r="T89" s="15" t="s">
        <v>59</v>
      </c>
      <c r="U89" s="15" t="s">
        <v>59</v>
      </c>
      <c r="W89" s="33" t="s">
        <v>29</v>
      </c>
      <c r="X89" s="33">
        <v>1.1399999999999999</v>
      </c>
    </row>
    <row r="90" spans="1:24" x14ac:dyDescent="0.2">
      <c r="A90" s="6" t="s">
        <v>154</v>
      </c>
      <c r="B90" s="6">
        <v>13</v>
      </c>
      <c r="C90" s="6">
        <v>13</v>
      </c>
      <c r="D90" s="6">
        <v>13</v>
      </c>
      <c r="E90" s="6">
        <v>13</v>
      </c>
      <c r="F90" s="6">
        <v>13</v>
      </c>
      <c r="G90" s="6">
        <v>13</v>
      </c>
      <c r="H90" s="6">
        <v>13</v>
      </c>
      <c r="I90" s="6">
        <v>13</v>
      </c>
      <c r="J90" s="6">
        <v>13</v>
      </c>
      <c r="K90" s="6">
        <v>13</v>
      </c>
      <c r="L90" s="16" t="s">
        <v>59</v>
      </c>
      <c r="M90" s="16" t="s">
        <v>59</v>
      </c>
      <c r="N90" s="16" t="s">
        <v>59</v>
      </c>
      <c r="O90" s="6">
        <v>13</v>
      </c>
      <c r="P90" s="16" t="s">
        <v>59</v>
      </c>
      <c r="Q90" s="16" t="s">
        <v>59</v>
      </c>
      <c r="R90" s="16" t="s">
        <v>59</v>
      </c>
      <c r="S90" s="6">
        <v>13</v>
      </c>
      <c r="T90" s="16" t="s">
        <v>59</v>
      </c>
      <c r="U90" s="16" t="s">
        <v>59</v>
      </c>
      <c r="W90" s="35" t="s">
        <v>31</v>
      </c>
      <c r="X90" s="35">
        <v>1.1599999999999999</v>
      </c>
    </row>
    <row r="91" spans="1:24" x14ac:dyDescent="0.2">
      <c r="A91" s="2" t="s">
        <v>155</v>
      </c>
      <c r="B91" s="21">
        <v>1221</v>
      </c>
      <c r="C91" s="21">
        <v>1114</v>
      </c>
      <c r="D91" s="2">
        <v>990</v>
      </c>
      <c r="E91" s="2">
        <v>868</v>
      </c>
      <c r="F91" s="2">
        <v>755</v>
      </c>
      <c r="G91" s="2">
        <v>654</v>
      </c>
      <c r="H91" s="2">
        <v>544</v>
      </c>
      <c r="I91" s="2">
        <v>460</v>
      </c>
      <c r="J91" s="2">
        <v>406</v>
      </c>
      <c r="K91" s="2">
        <v>363</v>
      </c>
      <c r="L91" s="15" t="s">
        <v>59</v>
      </c>
      <c r="M91" s="15" t="s">
        <v>59</v>
      </c>
      <c r="N91" s="15" t="s">
        <v>59</v>
      </c>
      <c r="O91" s="21">
        <v>1221</v>
      </c>
      <c r="P91" s="15" t="s">
        <v>59</v>
      </c>
      <c r="Q91" s="15" t="s">
        <v>59</v>
      </c>
      <c r="R91" s="15" t="s">
        <v>59</v>
      </c>
      <c r="S91" s="21">
        <v>1114</v>
      </c>
      <c r="T91" s="15" t="s">
        <v>59</v>
      </c>
      <c r="U91" s="15" t="s">
        <v>59</v>
      </c>
      <c r="W91" s="33" t="s">
        <v>156</v>
      </c>
      <c r="X91" s="33">
        <v>0</v>
      </c>
    </row>
    <row r="92" spans="1:24" x14ac:dyDescent="0.2">
      <c r="A92" s="6" t="s">
        <v>157</v>
      </c>
      <c r="B92" s="6">
        <v>193</v>
      </c>
      <c r="C92" s="6">
        <v>162</v>
      </c>
      <c r="D92" s="6">
        <v>123</v>
      </c>
      <c r="E92" s="6">
        <v>107</v>
      </c>
      <c r="F92" s="6">
        <v>76</v>
      </c>
      <c r="G92" s="6">
        <v>45</v>
      </c>
      <c r="H92" s="6">
        <v>43</v>
      </c>
      <c r="I92" s="6">
        <v>42</v>
      </c>
      <c r="J92" s="16" t="s">
        <v>59</v>
      </c>
      <c r="K92" s="16" t="s">
        <v>59</v>
      </c>
      <c r="L92" s="16" t="s">
        <v>59</v>
      </c>
      <c r="M92" s="16" t="s">
        <v>59</v>
      </c>
      <c r="N92" s="16" t="s">
        <v>59</v>
      </c>
      <c r="O92" s="6">
        <v>193</v>
      </c>
      <c r="P92" s="16" t="s">
        <v>59</v>
      </c>
      <c r="Q92" s="16" t="s">
        <v>59</v>
      </c>
      <c r="R92" s="16" t="s">
        <v>59</v>
      </c>
      <c r="S92" s="6">
        <v>162</v>
      </c>
      <c r="T92" s="16" t="s">
        <v>59</v>
      </c>
      <c r="U92" s="16" t="s">
        <v>59</v>
      </c>
      <c r="W92" s="35" t="s">
        <v>158</v>
      </c>
      <c r="X92" s="35">
        <v>1.05</v>
      </c>
    </row>
    <row r="93" spans="1:24" x14ac:dyDescent="0.2">
      <c r="A93" s="2" t="s">
        <v>159</v>
      </c>
      <c r="B93" s="2">
        <v>294</v>
      </c>
      <c r="C93" s="2">
        <v>267</v>
      </c>
      <c r="D93" s="2">
        <v>242</v>
      </c>
      <c r="E93" s="2">
        <v>223</v>
      </c>
      <c r="F93" s="2">
        <v>198</v>
      </c>
      <c r="G93" s="2">
        <v>182</v>
      </c>
      <c r="H93" s="2">
        <v>173</v>
      </c>
      <c r="I93" s="2">
        <v>167</v>
      </c>
      <c r="J93" s="2">
        <v>158</v>
      </c>
      <c r="K93" s="2">
        <v>143</v>
      </c>
      <c r="L93" s="15" t="s">
        <v>59</v>
      </c>
      <c r="M93" s="15" t="s">
        <v>59</v>
      </c>
      <c r="N93" s="15" t="s">
        <v>59</v>
      </c>
      <c r="O93" s="2">
        <v>294</v>
      </c>
      <c r="P93" s="15" t="s">
        <v>59</v>
      </c>
      <c r="Q93" s="15" t="s">
        <v>59</v>
      </c>
      <c r="R93" s="15" t="s">
        <v>59</v>
      </c>
      <c r="S93" s="2">
        <v>267</v>
      </c>
      <c r="T93" s="15" t="s">
        <v>59</v>
      </c>
      <c r="U93" s="15" t="s">
        <v>59</v>
      </c>
      <c r="W93" s="33" t="s">
        <v>160</v>
      </c>
      <c r="X93" s="33">
        <v>1.52</v>
      </c>
    </row>
    <row r="94" spans="1:24" x14ac:dyDescent="0.2">
      <c r="A94" s="6" t="s">
        <v>161</v>
      </c>
      <c r="B94" s="22">
        <v>4000</v>
      </c>
      <c r="C94" s="22">
        <v>3579</v>
      </c>
      <c r="D94" s="22">
        <v>3302</v>
      </c>
      <c r="E94" s="22">
        <v>3118</v>
      </c>
      <c r="F94" s="22">
        <v>2767</v>
      </c>
      <c r="G94" s="22">
        <v>2505</v>
      </c>
      <c r="H94" s="16" t="s">
        <v>59</v>
      </c>
      <c r="I94" s="16" t="s">
        <v>59</v>
      </c>
      <c r="J94" s="16" t="s">
        <v>59</v>
      </c>
      <c r="K94" s="16" t="s">
        <v>59</v>
      </c>
      <c r="L94" s="22">
        <v>4385</v>
      </c>
      <c r="M94" s="22">
        <v>4204</v>
      </c>
      <c r="N94" s="22">
        <v>4076</v>
      </c>
      <c r="O94" s="22">
        <v>4000</v>
      </c>
      <c r="P94" s="22">
        <v>3955</v>
      </c>
      <c r="Q94" s="22">
        <v>3771</v>
      </c>
      <c r="R94" s="22">
        <v>3671</v>
      </c>
      <c r="S94" s="22">
        <v>3579</v>
      </c>
      <c r="T94" s="22">
        <v>3556</v>
      </c>
      <c r="U94" s="22">
        <v>3434</v>
      </c>
      <c r="W94" s="35" t="s">
        <v>162</v>
      </c>
      <c r="X94" s="35">
        <v>2.44</v>
      </c>
    </row>
    <row r="95" spans="1:24" x14ac:dyDescent="0.2">
      <c r="A95" s="2" t="s">
        <v>163</v>
      </c>
      <c r="B95" s="21">
        <v>2249</v>
      </c>
      <c r="C95" s="21">
        <v>1982</v>
      </c>
      <c r="D95" s="21">
        <v>1735</v>
      </c>
      <c r="E95" s="21">
        <v>1536</v>
      </c>
      <c r="F95" s="21">
        <v>1380</v>
      </c>
      <c r="G95" s="21">
        <v>1201</v>
      </c>
      <c r="H95" s="21">
        <v>1084</v>
      </c>
      <c r="I95" s="2">
        <v>979</v>
      </c>
      <c r="J95" s="2">
        <v>845</v>
      </c>
      <c r="K95" s="2">
        <v>721</v>
      </c>
      <c r="L95" s="15" t="s">
        <v>59</v>
      </c>
      <c r="M95" s="15" t="s">
        <v>59</v>
      </c>
      <c r="N95" s="15" t="s">
        <v>59</v>
      </c>
      <c r="O95" s="21">
        <v>2249</v>
      </c>
      <c r="P95" s="15" t="s">
        <v>59</v>
      </c>
      <c r="Q95" s="15" t="s">
        <v>59</v>
      </c>
      <c r="R95" s="15" t="s">
        <v>59</v>
      </c>
      <c r="S95" s="21">
        <v>1982</v>
      </c>
      <c r="T95" s="15" t="s">
        <v>59</v>
      </c>
      <c r="U95" s="15" t="s">
        <v>59</v>
      </c>
      <c r="W95" s="33" t="s">
        <v>164</v>
      </c>
      <c r="X95" s="38" t="s">
        <v>59</v>
      </c>
    </row>
    <row r="96" spans="1:24" x14ac:dyDescent="0.2">
      <c r="A96" s="7" t="s">
        <v>165</v>
      </c>
      <c r="B96" s="7">
        <v>926</v>
      </c>
      <c r="C96" s="7">
        <v>599</v>
      </c>
      <c r="D96" s="7">
        <v>425</v>
      </c>
      <c r="E96" s="7">
        <v>334</v>
      </c>
      <c r="F96" s="7">
        <v>140</v>
      </c>
      <c r="G96" s="7">
        <v>41</v>
      </c>
      <c r="H96" s="7">
        <v>30</v>
      </c>
      <c r="I96" s="7">
        <v>30</v>
      </c>
      <c r="J96" s="7">
        <v>171</v>
      </c>
      <c r="K96" s="7">
        <v>664</v>
      </c>
      <c r="L96" s="7">
        <v>407</v>
      </c>
      <c r="M96" s="7">
        <v>576</v>
      </c>
      <c r="N96" s="7">
        <v>759</v>
      </c>
      <c r="O96" s="7">
        <v>926</v>
      </c>
      <c r="P96" s="7">
        <v>950</v>
      </c>
      <c r="Q96" s="20">
        <v>1015</v>
      </c>
      <c r="R96" s="7">
        <v>811</v>
      </c>
      <c r="S96" s="7">
        <v>599</v>
      </c>
      <c r="T96" s="7">
        <v>508</v>
      </c>
      <c r="U96" s="7">
        <v>466</v>
      </c>
      <c r="W96" s="33"/>
      <c r="X96" s="33"/>
    </row>
    <row r="97" spans="1:24" x14ac:dyDescent="0.2">
      <c r="A97" s="2" t="s">
        <v>166</v>
      </c>
      <c r="B97" s="2">
        <v>28</v>
      </c>
      <c r="C97" s="2">
        <v>9</v>
      </c>
      <c r="D97" s="2">
        <v>12</v>
      </c>
      <c r="E97" s="2">
        <v>9</v>
      </c>
      <c r="F97" s="2">
        <v>10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29</v>
      </c>
      <c r="M97" s="2">
        <v>27</v>
      </c>
      <c r="N97" s="2">
        <v>27</v>
      </c>
      <c r="O97" s="2">
        <v>28</v>
      </c>
      <c r="P97" s="2">
        <v>29</v>
      </c>
      <c r="Q97" s="2">
        <v>15</v>
      </c>
      <c r="R97" s="2">
        <v>8</v>
      </c>
      <c r="S97" s="2">
        <v>9</v>
      </c>
      <c r="T97" s="2">
        <v>10</v>
      </c>
      <c r="U97" s="2">
        <v>10</v>
      </c>
      <c r="W97" s="33" t="s">
        <v>167</v>
      </c>
      <c r="X97" s="33"/>
    </row>
    <row r="98" spans="1:24" x14ac:dyDescent="0.2">
      <c r="A98" s="6" t="s">
        <v>168</v>
      </c>
      <c r="B98" s="6">
        <v>898</v>
      </c>
      <c r="C98" s="6">
        <v>590</v>
      </c>
      <c r="D98" s="6">
        <v>413</v>
      </c>
      <c r="E98" s="6">
        <v>324</v>
      </c>
      <c r="F98" s="6">
        <v>130</v>
      </c>
      <c r="G98" s="6">
        <v>41</v>
      </c>
      <c r="H98" s="6">
        <v>30</v>
      </c>
      <c r="I98" s="6">
        <v>30</v>
      </c>
      <c r="J98" s="6">
        <v>171</v>
      </c>
      <c r="K98" s="6">
        <v>664</v>
      </c>
      <c r="L98" s="6">
        <v>379</v>
      </c>
      <c r="M98" s="6">
        <v>549</v>
      </c>
      <c r="N98" s="6">
        <v>732</v>
      </c>
      <c r="O98" s="6">
        <v>898</v>
      </c>
      <c r="P98" s="6">
        <v>920</v>
      </c>
      <c r="Q98" s="22">
        <v>1000</v>
      </c>
      <c r="R98" s="6">
        <v>803</v>
      </c>
      <c r="S98" s="6">
        <v>590</v>
      </c>
      <c r="T98" s="6">
        <v>499</v>
      </c>
      <c r="U98" s="6">
        <v>456</v>
      </c>
      <c r="W98" s="34" t="s">
        <v>1</v>
      </c>
      <c r="X98" s="34" t="s">
        <v>7</v>
      </c>
    </row>
    <row r="99" spans="1:24" x14ac:dyDescent="0.2">
      <c r="A99" s="11" t="s">
        <v>169</v>
      </c>
      <c r="B99" s="11">
        <v>22</v>
      </c>
      <c r="C99" s="11">
        <v>22</v>
      </c>
      <c r="D99" s="11">
        <v>22</v>
      </c>
      <c r="E99" s="11">
        <v>22</v>
      </c>
      <c r="F99" s="11">
        <v>22</v>
      </c>
      <c r="G99" s="11">
        <v>22</v>
      </c>
      <c r="H99" s="11">
        <v>22</v>
      </c>
      <c r="I99" s="11">
        <v>22</v>
      </c>
      <c r="J99" s="11">
        <v>22</v>
      </c>
      <c r="K99" s="11">
        <v>22</v>
      </c>
      <c r="L99" s="11">
        <v>22</v>
      </c>
      <c r="M99" s="11">
        <v>22</v>
      </c>
      <c r="N99" s="11">
        <v>22</v>
      </c>
      <c r="O99" s="11">
        <v>22</v>
      </c>
      <c r="P99" s="11">
        <v>22</v>
      </c>
      <c r="Q99" s="11">
        <v>22</v>
      </c>
      <c r="R99" s="11">
        <v>22</v>
      </c>
      <c r="S99" s="11">
        <v>22</v>
      </c>
      <c r="T99" s="11">
        <v>22</v>
      </c>
      <c r="U99" s="11">
        <v>22</v>
      </c>
      <c r="W99" s="35" t="s">
        <v>170</v>
      </c>
      <c r="X99" s="35">
        <v>27.3</v>
      </c>
    </row>
    <row r="100" spans="1:24" x14ac:dyDescent="0.2">
      <c r="A100" s="6" t="s">
        <v>171</v>
      </c>
      <c r="B100" s="6">
        <v>22</v>
      </c>
      <c r="C100" s="6">
        <v>22</v>
      </c>
      <c r="D100" s="6">
        <v>22</v>
      </c>
      <c r="E100" s="6">
        <v>22</v>
      </c>
      <c r="F100" s="6">
        <v>22</v>
      </c>
      <c r="G100" s="6">
        <v>22</v>
      </c>
      <c r="H100" s="6">
        <v>22</v>
      </c>
      <c r="I100" s="6">
        <v>22</v>
      </c>
      <c r="J100" s="6">
        <v>22</v>
      </c>
      <c r="K100" s="6">
        <v>22</v>
      </c>
      <c r="L100" s="6">
        <v>22</v>
      </c>
      <c r="M100" s="6">
        <v>22</v>
      </c>
      <c r="N100" s="6">
        <v>22</v>
      </c>
      <c r="O100" s="6">
        <v>22</v>
      </c>
      <c r="P100" s="6">
        <v>22</v>
      </c>
      <c r="Q100" s="6">
        <v>22</v>
      </c>
      <c r="R100" s="6">
        <v>22</v>
      </c>
      <c r="S100" s="6">
        <v>22</v>
      </c>
      <c r="T100" s="6">
        <v>22</v>
      </c>
      <c r="U100" s="6">
        <v>22</v>
      </c>
      <c r="W100" s="33" t="s">
        <v>172</v>
      </c>
      <c r="X100" s="40">
        <v>-8.1</v>
      </c>
    </row>
    <row r="101" spans="1:24" x14ac:dyDescent="0.2">
      <c r="A101" s="2" t="s">
        <v>173</v>
      </c>
      <c r="B101" s="21">
        <v>1307</v>
      </c>
      <c r="C101" s="21">
        <v>1157</v>
      </c>
      <c r="D101" s="21">
        <v>1063</v>
      </c>
      <c r="E101" s="2">
        <v>991</v>
      </c>
      <c r="F101" s="2">
        <v>903</v>
      </c>
      <c r="G101" s="2">
        <v>814</v>
      </c>
      <c r="H101" s="2">
        <v>138</v>
      </c>
      <c r="I101" s="2">
        <v>147</v>
      </c>
      <c r="J101" s="2">
        <v>194</v>
      </c>
      <c r="K101" s="2">
        <v>170</v>
      </c>
      <c r="L101" s="15" t="s">
        <v>59</v>
      </c>
      <c r="M101" s="15" t="s">
        <v>59</v>
      </c>
      <c r="N101" s="15" t="s">
        <v>59</v>
      </c>
      <c r="O101" s="21">
        <v>1307</v>
      </c>
      <c r="P101" s="15" t="s">
        <v>59</v>
      </c>
      <c r="Q101" s="15" t="s">
        <v>59</v>
      </c>
      <c r="R101" s="15" t="s">
        <v>59</v>
      </c>
      <c r="S101" s="21">
        <v>1157</v>
      </c>
      <c r="T101" s="15" t="s">
        <v>59</v>
      </c>
      <c r="U101" s="15" t="s">
        <v>59</v>
      </c>
      <c r="W101" s="35" t="s">
        <v>174</v>
      </c>
      <c r="X101" s="35">
        <v>2.8</v>
      </c>
    </row>
    <row r="102" spans="1:24" x14ac:dyDescent="0.2">
      <c r="A102" s="7" t="s">
        <v>175</v>
      </c>
      <c r="B102" s="7">
        <v>86</v>
      </c>
      <c r="C102" s="7">
        <v>54</v>
      </c>
      <c r="D102" s="7">
        <v>51</v>
      </c>
      <c r="E102" s="7">
        <v>28</v>
      </c>
      <c r="F102" s="7">
        <v>50</v>
      </c>
      <c r="G102" s="7">
        <v>6</v>
      </c>
      <c r="H102" s="7">
        <v>19</v>
      </c>
      <c r="I102" s="7">
        <v>26</v>
      </c>
      <c r="J102" s="7">
        <v>7</v>
      </c>
      <c r="K102" s="7">
        <v>7</v>
      </c>
      <c r="L102" s="7">
        <v>100</v>
      </c>
      <c r="M102" s="7">
        <v>94</v>
      </c>
      <c r="N102" s="7">
        <v>89</v>
      </c>
      <c r="O102" s="7">
        <v>86</v>
      </c>
      <c r="P102" s="7">
        <v>85</v>
      </c>
      <c r="Q102" s="7">
        <v>60</v>
      </c>
      <c r="R102" s="7">
        <v>58</v>
      </c>
      <c r="S102" s="7">
        <v>54</v>
      </c>
      <c r="T102" s="7">
        <v>63</v>
      </c>
      <c r="U102" s="7">
        <v>52</v>
      </c>
      <c r="W102" s="33" t="s">
        <v>176</v>
      </c>
      <c r="X102" s="33">
        <v>833</v>
      </c>
    </row>
    <row r="103" spans="1:24" x14ac:dyDescent="0.2">
      <c r="A103" s="2" t="s">
        <v>177</v>
      </c>
      <c r="B103" s="2">
        <v>86</v>
      </c>
      <c r="C103" s="2">
        <v>54</v>
      </c>
      <c r="D103" s="2">
        <v>51</v>
      </c>
      <c r="E103" s="2">
        <v>28</v>
      </c>
      <c r="F103" s="2">
        <v>50</v>
      </c>
      <c r="G103" s="2">
        <v>6</v>
      </c>
      <c r="H103" s="2">
        <v>19</v>
      </c>
      <c r="I103" s="2">
        <v>26</v>
      </c>
      <c r="J103" s="2">
        <v>7</v>
      </c>
      <c r="K103" s="2">
        <v>7</v>
      </c>
      <c r="L103" s="2">
        <v>100</v>
      </c>
      <c r="M103" s="2">
        <v>94</v>
      </c>
      <c r="N103" s="2">
        <v>89</v>
      </c>
      <c r="O103" s="2">
        <v>86</v>
      </c>
      <c r="P103" s="2">
        <v>85</v>
      </c>
      <c r="Q103" s="2">
        <v>60</v>
      </c>
      <c r="R103" s="2">
        <v>58</v>
      </c>
      <c r="S103" s="2">
        <v>54</v>
      </c>
      <c r="T103" s="2">
        <v>63</v>
      </c>
      <c r="U103" s="2">
        <v>52</v>
      </c>
      <c r="W103" s="35" t="s">
        <v>178</v>
      </c>
      <c r="X103" s="35">
        <v>833</v>
      </c>
    </row>
    <row r="104" spans="1:24" x14ac:dyDescent="0.2">
      <c r="A104" s="7" t="s">
        <v>118</v>
      </c>
      <c r="B104" s="20">
        <v>10512</v>
      </c>
      <c r="C104" s="20">
        <v>9202</v>
      </c>
      <c r="D104" s="20">
        <v>7990</v>
      </c>
      <c r="E104" s="20">
        <v>7644</v>
      </c>
      <c r="F104" s="20">
        <v>6886</v>
      </c>
      <c r="G104" s="20">
        <v>5918</v>
      </c>
      <c r="H104" s="20">
        <v>2404</v>
      </c>
      <c r="I104" s="20">
        <v>2192</v>
      </c>
      <c r="J104" s="20">
        <v>2220</v>
      </c>
      <c r="K104" s="20">
        <v>2895</v>
      </c>
      <c r="L104" s="20">
        <v>9282</v>
      </c>
      <c r="M104" s="20">
        <v>9269</v>
      </c>
      <c r="N104" s="20">
        <v>9044</v>
      </c>
      <c r="O104" s="20">
        <v>10512</v>
      </c>
      <c r="P104" s="20">
        <v>9012</v>
      </c>
      <c r="Q104" s="20">
        <v>8920</v>
      </c>
      <c r="R104" s="20">
        <v>8411</v>
      </c>
      <c r="S104" s="20">
        <v>9202</v>
      </c>
      <c r="T104" s="20">
        <v>7911</v>
      </c>
      <c r="U104" s="20">
        <v>7552</v>
      </c>
      <c r="W104" s="33" t="s">
        <v>179</v>
      </c>
      <c r="X104" s="33">
        <v>0</v>
      </c>
    </row>
    <row r="105" spans="1:24" x14ac:dyDescent="0.2">
      <c r="A105" s="2" t="s">
        <v>35</v>
      </c>
      <c r="B105" s="2">
        <v>14.23</v>
      </c>
      <c r="C105" s="2">
        <v>15.16</v>
      </c>
      <c r="D105" s="2">
        <v>4.53</v>
      </c>
      <c r="E105" s="2">
        <v>11.01</v>
      </c>
      <c r="F105" s="2">
        <v>16.350000000000001</v>
      </c>
      <c r="G105" s="2">
        <v>146.22</v>
      </c>
      <c r="H105" s="2">
        <v>9.64</v>
      </c>
      <c r="I105" s="9">
        <v>-1.23</v>
      </c>
      <c r="J105" s="9">
        <v>-23.32</v>
      </c>
      <c r="K105" s="2">
        <v>7.79</v>
      </c>
      <c r="L105" s="2">
        <v>3</v>
      </c>
      <c r="M105" s="2">
        <v>3.91</v>
      </c>
      <c r="N105" s="2">
        <v>7.52</v>
      </c>
      <c r="O105" s="2">
        <v>14.23</v>
      </c>
      <c r="P105" s="2">
        <v>13.91</v>
      </c>
      <c r="Q105" s="2">
        <v>18.11</v>
      </c>
      <c r="R105" s="2">
        <v>19.25</v>
      </c>
      <c r="S105" s="2">
        <v>15.16</v>
      </c>
      <c r="T105" s="2">
        <v>16.05</v>
      </c>
      <c r="U105" s="2">
        <v>15.39</v>
      </c>
      <c r="W105" s="35" t="s">
        <v>180</v>
      </c>
      <c r="X105" s="35">
        <v>12.9</v>
      </c>
    </row>
    <row r="106" spans="1:24" x14ac:dyDescent="0.2">
      <c r="A106" s="7" t="s">
        <v>181</v>
      </c>
      <c r="B106" s="7" t="s">
        <v>1</v>
      </c>
      <c r="C106" s="7" t="s">
        <v>1</v>
      </c>
      <c r="D106" s="7" t="s">
        <v>1</v>
      </c>
      <c r="E106" s="7" t="s">
        <v>1</v>
      </c>
      <c r="F106" s="7" t="s">
        <v>1</v>
      </c>
      <c r="G106" s="7" t="s">
        <v>1</v>
      </c>
      <c r="H106" s="7" t="s">
        <v>1</v>
      </c>
      <c r="I106" s="7" t="s">
        <v>1</v>
      </c>
      <c r="J106" s="7" t="s">
        <v>1</v>
      </c>
      <c r="K106" s="7" t="s">
        <v>1</v>
      </c>
      <c r="L106" s="7" t="s">
        <v>1</v>
      </c>
      <c r="M106" s="7" t="s">
        <v>1</v>
      </c>
      <c r="N106" s="7" t="s">
        <v>1</v>
      </c>
      <c r="O106" s="7" t="s">
        <v>1</v>
      </c>
      <c r="P106" s="7" t="s">
        <v>1</v>
      </c>
      <c r="Q106" s="7" t="s">
        <v>1</v>
      </c>
      <c r="R106" s="7" t="s">
        <v>1</v>
      </c>
      <c r="S106" s="7" t="s">
        <v>1</v>
      </c>
      <c r="T106" s="7" t="s">
        <v>1</v>
      </c>
      <c r="U106" s="7" t="s">
        <v>1</v>
      </c>
      <c r="W106" s="33" t="s">
        <v>182</v>
      </c>
      <c r="X106" s="33">
        <v>20.9</v>
      </c>
    </row>
    <row r="107" spans="1:24" x14ac:dyDescent="0.2">
      <c r="A107" s="11" t="s">
        <v>183</v>
      </c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W107" s="35" t="s">
        <v>184</v>
      </c>
      <c r="X107" s="35">
        <v>30</v>
      </c>
    </row>
    <row r="108" spans="1:24" x14ac:dyDescent="0.2">
      <c r="A108" s="6" t="s">
        <v>185</v>
      </c>
      <c r="B108" s="6">
        <v>277.8</v>
      </c>
      <c r="C108" s="6">
        <v>248.1</v>
      </c>
      <c r="D108" s="6">
        <v>236.2</v>
      </c>
      <c r="E108" s="6">
        <v>218.7</v>
      </c>
      <c r="F108" s="6">
        <v>204.8</v>
      </c>
      <c r="G108" s="6">
        <v>173.6</v>
      </c>
      <c r="H108" s="6">
        <v>0</v>
      </c>
      <c r="I108" s="6">
        <v>0</v>
      </c>
      <c r="J108" s="6">
        <v>0</v>
      </c>
      <c r="K108" s="6">
        <v>0</v>
      </c>
      <c r="L108" s="6">
        <v>293</v>
      </c>
      <c r="M108" s="6">
        <v>287.3</v>
      </c>
      <c r="N108" s="6">
        <v>284.5</v>
      </c>
      <c r="O108" s="6">
        <v>277.8</v>
      </c>
      <c r="P108" s="6">
        <v>270.60000000000002</v>
      </c>
      <c r="Q108" s="6">
        <v>264.3</v>
      </c>
      <c r="R108" s="6">
        <v>254.1</v>
      </c>
      <c r="S108" s="6">
        <v>248.1</v>
      </c>
      <c r="T108" s="6">
        <v>245</v>
      </c>
      <c r="U108" s="6">
        <v>244.1</v>
      </c>
      <c r="W108" s="33" t="s">
        <v>186</v>
      </c>
      <c r="X108" s="33">
        <v>3.5</v>
      </c>
    </row>
    <row r="109" spans="1:24" x14ac:dyDescent="0.2">
      <c r="A109" s="2" t="s">
        <v>116</v>
      </c>
      <c r="B109" s="2">
        <v>210.7</v>
      </c>
      <c r="C109" s="2">
        <v>197.6</v>
      </c>
      <c r="D109" s="2">
        <v>184.6</v>
      </c>
      <c r="E109" s="2">
        <v>163.19999999999999</v>
      </c>
      <c r="F109" s="2">
        <v>122</v>
      </c>
      <c r="G109" s="2">
        <v>115.8</v>
      </c>
      <c r="H109" s="2">
        <v>113.1</v>
      </c>
      <c r="I109" s="2">
        <v>82</v>
      </c>
      <c r="J109" s="2">
        <v>78.400000000000006</v>
      </c>
      <c r="K109" s="2">
        <v>85.7</v>
      </c>
      <c r="L109" s="2">
        <v>260.2</v>
      </c>
      <c r="M109" s="2">
        <v>216.3</v>
      </c>
      <c r="N109" s="2">
        <v>217.4</v>
      </c>
      <c r="O109" s="2">
        <v>210.7</v>
      </c>
      <c r="P109" s="2">
        <v>221.3</v>
      </c>
      <c r="Q109" s="2">
        <v>203.5</v>
      </c>
      <c r="R109" s="2">
        <v>196.9</v>
      </c>
      <c r="S109" s="2">
        <v>197.6</v>
      </c>
      <c r="T109" s="2">
        <v>207.5</v>
      </c>
      <c r="U109" s="2">
        <v>162</v>
      </c>
      <c r="W109" s="35" t="s">
        <v>187</v>
      </c>
      <c r="X109" s="35">
        <v>3.9</v>
      </c>
    </row>
    <row r="110" spans="1:24" x14ac:dyDescent="0.2">
      <c r="A110" s="6" t="s">
        <v>188</v>
      </c>
      <c r="B110" s="6">
        <v>47.2</v>
      </c>
      <c r="C110" s="6">
        <v>42.1</v>
      </c>
      <c r="D110" s="6">
        <v>35.6</v>
      </c>
      <c r="E110" s="6">
        <v>32</v>
      </c>
      <c r="F110" s="6">
        <v>26.4</v>
      </c>
      <c r="G110" s="6">
        <v>26.5</v>
      </c>
      <c r="H110" s="6">
        <v>26.9</v>
      </c>
      <c r="I110" s="6">
        <v>18.899999999999999</v>
      </c>
      <c r="J110" s="6">
        <v>20.399999999999999</v>
      </c>
      <c r="K110" s="6">
        <v>15.6</v>
      </c>
      <c r="L110" s="16" t="s">
        <v>59</v>
      </c>
      <c r="M110" s="16" t="s">
        <v>59</v>
      </c>
      <c r="N110" s="6">
        <v>46.1</v>
      </c>
      <c r="O110" s="6">
        <v>47.2</v>
      </c>
      <c r="P110" s="16" t="s">
        <v>59</v>
      </c>
      <c r="Q110" s="16" t="s">
        <v>59</v>
      </c>
      <c r="R110" s="6">
        <v>45</v>
      </c>
      <c r="S110" s="6">
        <v>42.1</v>
      </c>
      <c r="T110" s="6">
        <v>172.7</v>
      </c>
      <c r="U110" s="6">
        <v>98.4</v>
      </c>
      <c r="W110" s="33" t="s">
        <v>189</v>
      </c>
      <c r="X110" s="33">
        <v>19.8</v>
      </c>
    </row>
    <row r="111" spans="1:24" x14ac:dyDescent="0.2">
      <c r="A111" s="11" t="s">
        <v>190</v>
      </c>
      <c r="B111" s="11">
        <v>633</v>
      </c>
      <c r="C111" s="11">
        <v>542.79999999999995</v>
      </c>
      <c r="D111" s="11">
        <v>465.5</v>
      </c>
      <c r="E111" s="11">
        <v>459.8</v>
      </c>
      <c r="F111" s="11">
        <v>469</v>
      </c>
      <c r="G111" s="11">
        <v>350.7</v>
      </c>
      <c r="H111" s="11">
        <v>310</v>
      </c>
      <c r="I111" s="11">
        <v>222.9</v>
      </c>
      <c r="J111" s="11">
        <v>183</v>
      </c>
      <c r="K111" s="11">
        <v>178.6</v>
      </c>
      <c r="L111" s="11">
        <v>596.79999999999995</v>
      </c>
      <c r="M111" s="11">
        <v>628.70000000000005</v>
      </c>
      <c r="N111" s="11">
        <v>543.5</v>
      </c>
      <c r="O111" s="11">
        <v>633</v>
      </c>
      <c r="P111" s="11">
        <v>546</v>
      </c>
      <c r="Q111" s="11">
        <v>575.4</v>
      </c>
      <c r="R111" s="11">
        <v>501.4</v>
      </c>
      <c r="S111" s="11">
        <v>542.79999999999995</v>
      </c>
      <c r="T111" s="11">
        <v>462.5</v>
      </c>
      <c r="U111" s="11">
        <v>477.7</v>
      </c>
      <c r="W111" s="35" t="s">
        <v>191</v>
      </c>
      <c r="X111" s="35">
        <v>23.5</v>
      </c>
    </row>
    <row r="112" spans="1:24" x14ac:dyDescent="0.2">
      <c r="A112" s="6" t="s">
        <v>192</v>
      </c>
      <c r="B112" s="6">
        <v>261.89999999999998</v>
      </c>
      <c r="C112" s="6">
        <v>227.5</v>
      </c>
      <c r="D112" s="6">
        <v>170.5</v>
      </c>
      <c r="E112" s="6">
        <v>162.4</v>
      </c>
      <c r="F112" s="6">
        <v>203.1</v>
      </c>
      <c r="G112" s="6">
        <v>126.6</v>
      </c>
      <c r="H112" s="6">
        <v>113.5</v>
      </c>
      <c r="I112" s="6">
        <v>82.5</v>
      </c>
      <c r="J112" s="6">
        <v>76.3</v>
      </c>
      <c r="K112" s="6">
        <v>65</v>
      </c>
      <c r="L112" s="6">
        <v>193.2</v>
      </c>
      <c r="M112" s="6">
        <v>236.9</v>
      </c>
      <c r="N112" s="6">
        <v>154.4</v>
      </c>
      <c r="O112" s="6">
        <v>261.89999999999998</v>
      </c>
      <c r="P112" s="6">
        <v>184.4</v>
      </c>
      <c r="Q112" s="6">
        <v>223.4</v>
      </c>
      <c r="R112" s="6">
        <v>142.4</v>
      </c>
      <c r="S112" s="6">
        <v>227.5</v>
      </c>
      <c r="T112" s="6">
        <v>147.6</v>
      </c>
      <c r="U112" s="6">
        <v>170.8</v>
      </c>
      <c r="W112" s="33" t="s">
        <v>193</v>
      </c>
      <c r="X112" s="33">
        <v>29.3</v>
      </c>
    </row>
    <row r="113" spans="1:24" x14ac:dyDescent="0.2">
      <c r="A113" s="2" t="s">
        <v>194</v>
      </c>
      <c r="B113" s="2">
        <v>371.1</v>
      </c>
      <c r="C113" s="2">
        <v>315.3</v>
      </c>
      <c r="D113" s="2">
        <v>295</v>
      </c>
      <c r="E113" s="2">
        <v>297.39999999999998</v>
      </c>
      <c r="F113" s="2">
        <v>266</v>
      </c>
      <c r="G113" s="2">
        <v>224.1</v>
      </c>
      <c r="H113" s="2">
        <v>196.6</v>
      </c>
      <c r="I113" s="2">
        <v>140.4</v>
      </c>
      <c r="J113" s="2">
        <v>106.7</v>
      </c>
      <c r="K113" s="2">
        <v>113.6</v>
      </c>
      <c r="L113" s="2">
        <v>403.7</v>
      </c>
      <c r="M113" s="2">
        <v>391.7</v>
      </c>
      <c r="N113" s="2">
        <v>389.1</v>
      </c>
      <c r="O113" s="2">
        <v>371.1</v>
      </c>
      <c r="P113" s="2">
        <v>361.6</v>
      </c>
      <c r="Q113" s="2">
        <v>352</v>
      </c>
      <c r="R113" s="2">
        <v>358.9</v>
      </c>
      <c r="S113" s="2">
        <v>315.3</v>
      </c>
      <c r="T113" s="2">
        <v>314.89999999999998</v>
      </c>
      <c r="U113" s="2">
        <v>306.89999999999998</v>
      </c>
      <c r="W113" s="35" t="s">
        <v>195</v>
      </c>
      <c r="X113" s="35">
        <v>0</v>
      </c>
    </row>
    <row r="114" spans="1:24" x14ac:dyDescent="0.2">
      <c r="A114" s="7" t="s">
        <v>196</v>
      </c>
      <c r="B114" s="8">
        <v>1168.8</v>
      </c>
      <c r="C114" s="8">
        <v>1030.5999999999999</v>
      </c>
      <c r="D114" s="7">
        <v>921.9</v>
      </c>
      <c r="E114" s="7">
        <v>873.7</v>
      </c>
      <c r="F114" s="7">
        <v>822.2</v>
      </c>
      <c r="G114" s="7">
        <v>666.6</v>
      </c>
      <c r="H114" s="7">
        <v>450</v>
      </c>
      <c r="I114" s="7">
        <v>323.89999999999998</v>
      </c>
      <c r="J114" s="7">
        <v>281.8</v>
      </c>
      <c r="K114" s="7">
        <v>279.89999999999998</v>
      </c>
      <c r="L114" s="8">
        <v>1150.0999999999999</v>
      </c>
      <c r="M114" s="8">
        <v>1132.3</v>
      </c>
      <c r="N114" s="8">
        <v>1091.5</v>
      </c>
      <c r="O114" s="8">
        <v>1168.8</v>
      </c>
      <c r="P114" s="8">
        <v>1037.9000000000001</v>
      </c>
      <c r="Q114" s="8">
        <v>1043.2</v>
      </c>
      <c r="R114" s="7">
        <v>997.4</v>
      </c>
      <c r="S114" s="8">
        <v>1030.5999999999999</v>
      </c>
      <c r="T114" s="8">
        <v>1087.7</v>
      </c>
      <c r="U114" s="7">
        <v>982.3</v>
      </c>
      <c r="W114" s="33" t="s">
        <v>197</v>
      </c>
      <c r="X114" s="33">
        <v>9</v>
      </c>
    </row>
    <row r="115" spans="1:24" x14ac:dyDescent="0.2">
      <c r="A115" s="2" t="s">
        <v>35</v>
      </c>
      <c r="B115" s="2">
        <v>13.4</v>
      </c>
      <c r="C115" s="2">
        <v>11.8</v>
      </c>
      <c r="D115" s="2">
        <v>5.52</v>
      </c>
      <c r="E115" s="2">
        <v>6.26</v>
      </c>
      <c r="F115" s="2">
        <v>23.34</v>
      </c>
      <c r="G115" s="2">
        <v>48.14</v>
      </c>
      <c r="H115" s="2">
        <v>38.93</v>
      </c>
      <c r="I115" s="2">
        <v>14.94</v>
      </c>
      <c r="J115" s="2">
        <v>0.66</v>
      </c>
      <c r="K115" s="2">
        <v>13.93</v>
      </c>
      <c r="L115" s="2">
        <v>10.81</v>
      </c>
      <c r="M115" s="2">
        <v>8.5399999999999991</v>
      </c>
      <c r="N115" s="2">
        <v>9.44</v>
      </c>
      <c r="O115" s="2">
        <v>13.4</v>
      </c>
      <c r="P115" s="9">
        <v>-4.58</v>
      </c>
      <c r="Q115" s="2">
        <v>6.2</v>
      </c>
      <c r="R115" s="2">
        <v>11.55</v>
      </c>
      <c r="S115" s="2">
        <v>11.8</v>
      </c>
      <c r="T115" s="2">
        <v>32.99</v>
      </c>
      <c r="U115" s="2">
        <v>18.11</v>
      </c>
      <c r="W115" s="35" t="s">
        <v>198</v>
      </c>
      <c r="X115" s="35">
        <v>16.7</v>
      </c>
    </row>
    <row r="116" spans="1:24" x14ac:dyDescent="0.2">
      <c r="A116" s="6" t="s">
        <v>199</v>
      </c>
      <c r="B116" s="6">
        <v>11.12</v>
      </c>
      <c r="C116" s="6">
        <v>11.2</v>
      </c>
      <c r="D116" s="6">
        <v>11.54</v>
      </c>
      <c r="E116" s="6">
        <v>11.43</v>
      </c>
      <c r="F116" s="6">
        <v>11.94</v>
      </c>
      <c r="G116" s="6">
        <v>11.26</v>
      </c>
      <c r="H116" s="6">
        <v>18.72</v>
      </c>
      <c r="I116" s="6">
        <v>14.77</v>
      </c>
      <c r="J116" s="6">
        <v>12.7</v>
      </c>
      <c r="K116" s="6">
        <v>9.67</v>
      </c>
      <c r="L116" s="6">
        <v>12.39</v>
      </c>
      <c r="M116" s="6">
        <v>12.22</v>
      </c>
      <c r="N116" s="6">
        <v>12.07</v>
      </c>
      <c r="O116" s="6">
        <v>11.12</v>
      </c>
      <c r="P116" s="6">
        <v>11.52</v>
      </c>
      <c r="Q116" s="6">
        <v>11.69</v>
      </c>
      <c r="R116" s="6">
        <v>11.86</v>
      </c>
      <c r="S116" s="6">
        <v>11.2</v>
      </c>
      <c r="T116" s="6">
        <v>13.75</v>
      </c>
      <c r="U116" s="6">
        <v>13.01</v>
      </c>
      <c r="W116" s="33" t="s">
        <v>200</v>
      </c>
      <c r="X116" s="33">
        <v>47.3</v>
      </c>
    </row>
    <row r="117" spans="1:24" x14ac:dyDescent="0.2">
      <c r="A117" s="11" t="s">
        <v>201</v>
      </c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W117" s="35" t="s">
        <v>202</v>
      </c>
      <c r="X117" s="35">
        <v>0.2</v>
      </c>
    </row>
    <row r="118" spans="1:24" x14ac:dyDescent="0.2">
      <c r="A118" s="7" t="s">
        <v>121</v>
      </c>
      <c r="B118" s="20">
        <v>4263</v>
      </c>
      <c r="C118" s="20">
        <v>3804</v>
      </c>
      <c r="D118" s="20">
        <v>3495</v>
      </c>
      <c r="E118" s="20">
        <v>3302</v>
      </c>
      <c r="F118" s="20">
        <v>2952</v>
      </c>
      <c r="G118" s="20">
        <v>2681</v>
      </c>
      <c r="H118" s="7">
        <v>0</v>
      </c>
      <c r="I118" s="7">
        <v>0</v>
      </c>
      <c r="J118" s="7">
        <v>0</v>
      </c>
      <c r="K118" s="7">
        <v>0</v>
      </c>
      <c r="L118" s="20">
        <v>4687</v>
      </c>
      <c r="M118" s="20">
        <v>4493</v>
      </c>
      <c r="N118" s="20">
        <v>4349</v>
      </c>
      <c r="O118" s="20">
        <v>4263</v>
      </c>
      <c r="P118" s="20">
        <v>4213</v>
      </c>
      <c r="Q118" s="20">
        <v>4014</v>
      </c>
      <c r="R118" s="20">
        <v>3903</v>
      </c>
      <c r="S118" s="20">
        <v>3804</v>
      </c>
      <c r="T118" s="20">
        <v>3773</v>
      </c>
      <c r="U118" s="20">
        <v>3644</v>
      </c>
      <c r="W118" s="33" t="s">
        <v>203</v>
      </c>
      <c r="X118" s="33">
        <v>0.6</v>
      </c>
    </row>
    <row r="119" spans="1:24" x14ac:dyDescent="0.2">
      <c r="A119" s="2" t="s">
        <v>204</v>
      </c>
      <c r="B119" s="21">
        <v>4263</v>
      </c>
      <c r="C119" s="21">
        <v>3804</v>
      </c>
      <c r="D119" s="21">
        <v>3495</v>
      </c>
      <c r="E119" s="21">
        <v>3302</v>
      </c>
      <c r="F119" s="21">
        <v>2952</v>
      </c>
      <c r="G119" s="21">
        <v>2681</v>
      </c>
      <c r="H119" s="2">
        <v>0</v>
      </c>
      <c r="I119" s="2">
        <v>0</v>
      </c>
      <c r="J119" s="2">
        <v>0</v>
      </c>
      <c r="K119" s="2">
        <v>0</v>
      </c>
      <c r="L119" s="21">
        <v>4687</v>
      </c>
      <c r="M119" s="21">
        <v>4493</v>
      </c>
      <c r="N119" s="21">
        <v>4349</v>
      </c>
      <c r="O119" s="21">
        <v>4263</v>
      </c>
      <c r="P119" s="21">
        <v>4213</v>
      </c>
      <c r="Q119" s="21">
        <v>4014</v>
      </c>
      <c r="R119" s="21">
        <v>3903</v>
      </c>
      <c r="S119" s="21">
        <v>3804</v>
      </c>
      <c r="T119" s="21">
        <v>3773</v>
      </c>
      <c r="U119" s="21">
        <v>3644</v>
      </c>
      <c r="W119" s="35" t="s">
        <v>205</v>
      </c>
      <c r="X119" s="35">
        <v>16.8</v>
      </c>
    </row>
    <row r="120" spans="1:24" x14ac:dyDescent="0.2">
      <c r="A120" s="6" t="s">
        <v>206</v>
      </c>
      <c r="B120" s="22">
        <v>1353</v>
      </c>
      <c r="C120" s="22">
        <v>1247</v>
      </c>
      <c r="D120" s="22">
        <v>1162</v>
      </c>
      <c r="E120" s="22">
        <v>1133</v>
      </c>
      <c r="F120" s="22">
        <v>1052</v>
      </c>
      <c r="G120" s="6">
        <v>851</v>
      </c>
      <c r="H120" s="6">
        <v>150</v>
      </c>
      <c r="I120" s="6">
        <v>147</v>
      </c>
      <c r="J120" s="6">
        <v>213</v>
      </c>
      <c r="K120" s="6">
        <v>202</v>
      </c>
      <c r="L120" s="6">
        <v>140</v>
      </c>
      <c r="M120" s="6">
        <v>36</v>
      </c>
      <c r="N120" s="6">
        <v>39</v>
      </c>
      <c r="O120" s="22">
        <v>1353</v>
      </c>
      <c r="P120" s="6">
        <v>80</v>
      </c>
      <c r="Q120" s="6">
        <v>83</v>
      </c>
      <c r="R120" s="6">
        <v>84</v>
      </c>
      <c r="S120" s="22">
        <v>1247</v>
      </c>
      <c r="T120" s="6">
        <v>111</v>
      </c>
      <c r="U120" s="6">
        <v>106</v>
      </c>
      <c r="W120" s="33" t="s">
        <v>207</v>
      </c>
      <c r="X120" s="33">
        <v>0.5</v>
      </c>
    </row>
    <row r="121" spans="1:24" x14ac:dyDescent="0.2">
      <c r="A121" s="11" t="s">
        <v>208</v>
      </c>
      <c r="B121" s="11">
        <v>71</v>
      </c>
      <c r="C121" s="11">
        <v>59</v>
      </c>
      <c r="D121" s="11">
        <v>44</v>
      </c>
      <c r="E121" s="11">
        <v>39</v>
      </c>
      <c r="F121" s="11">
        <v>39</v>
      </c>
      <c r="G121" s="11">
        <v>37</v>
      </c>
      <c r="H121" s="11">
        <v>363</v>
      </c>
      <c r="I121" s="11">
        <v>357</v>
      </c>
      <c r="J121" s="11">
        <v>323</v>
      </c>
      <c r="K121" s="11">
        <v>285</v>
      </c>
      <c r="L121" s="11">
        <v>82</v>
      </c>
      <c r="M121" s="11">
        <v>79</v>
      </c>
      <c r="N121" s="11">
        <v>74</v>
      </c>
      <c r="O121" s="11">
        <v>71</v>
      </c>
      <c r="P121" s="11">
        <v>68</v>
      </c>
      <c r="Q121" s="11">
        <v>67</v>
      </c>
      <c r="R121" s="11">
        <v>65</v>
      </c>
      <c r="S121" s="11">
        <v>59</v>
      </c>
      <c r="T121" s="11">
        <v>53</v>
      </c>
      <c r="U121" s="11">
        <v>53</v>
      </c>
      <c r="W121" s="37" t="s">
        <v>209</v>
      </c>
      <c r="X121" s="33"/>
    </row>
    <row r="122" spans="1:24" x14ac:dyDescent="0.2">
      <c r="A122" s="6" t="s">
        <v>210</v>
      </c>
      <c r="B122" s="6">
        <v>71</v>
      </c>
      <c r="C122" s="6">
        <v>59</v>
      </c>
      <c r="D122" s="6">
        <v>44</v>
      </c>
      <c r="E122" s="6">
        <v>39</v>
      </c>
      <c r="F122" s="6">
        <v>39</v>
      </c>
      <c r="G122" s="6">
        <v>37</v>
      </c>
      <c r="H122" s="6">
        <v>363</v>
      </c>
      <c r="I122" s="6">
        <v>357</v>
      </c>
      <c r="J122" s="6">
        <v>323</v>
      </c>
      <c r="K122" s="6">
        <v>285</v>
      </c>
      <c r="L122" s="6">
        <v>82</v>
      </c>
      <c r="M122" s="6">
        <v>79</v>
      </c>
      <c r="N122" s="6">
        <v>74</v>
      </c>
      <c r="O122" s="6">
        <v>71</v>
      </c>
      <c r="P122" s="6">
        <v>68</v>
      </c>
      <c r="Q122" s="6">
        <v>67</v>
      </c>
      <c r="R122" s="6">
        <v>65</v>
      </c>
      <c r="S122" s="6">
        <v>59</v>
      </c>
      <c r="T122" s="6">
        <v>53</v>
      </c>
      <c r="U122" s="6">
        <v>53</v>
      </c>
      <c r="W122" s="37" t="s">
        <v>211</v>
      </c>
      <c r="X122" s="33"/>
    </row>
    <row r="123" spans="1:24" x14ac:dyDescent="0.2">
      <c r="A123" s="11" t="s">
        <v>212</v>
      </c>
      <c r="B123" s="19">
        <v>6856</v>
      </c>
      <c r="C123" s="19">
        <v>6140</v>
      </c>
      <c r="D123" s="19">
        <v>5622</v>
      </c>
      <c r="E123" s="19">
        <v>5347</v>
      </c>
      <c r="F123" s="19">
        <v>4866</v>
      </c>
      <c r="G123" s="19">
        <v>4235</v>
      </c>
      <c r="H123" s="11">
        <v>962</v>
      </c>
      <c r="I123" s="11">
        <v>828</v>
      </c>
      <c r="J123" s="11">
        <v>817</v>
      </c>
      <c r="K123" s="11">
        <v>767</v>
      </c>
      <c r="L123" s="19">
        <v>6060</v>
      </c>
      <c r="M123" s="19">
        <v>5741</v>
      </c>
      <c r="N123" s="19">
        <v>5553</v>
      </c>
      <c r="O123" s="19">
        <v>6856</v>
      </c>
      <c r="P123" s="19">
        <v>5398</v>
      </c>
      <c r="Q123" s="19">
        <v>5208</v>
      </c>
      <c r="R123" s="19">
        <v>5050</v>
      </c>
      <c r="S123" s="19">
        <v>6140</v>
      </c>
      <c r="T123" s="19">
        <v>5025</v>
      </c>
      <c r="U123" s="19">
        <v>4786</v>
      </c>
    </row>
    <row r="124" spans="1:24" x14ac:dyDescent="0.2">
      <c r="A124" s="6" t="s">
        <v>35</v>
      </c>
      <c r="B124" s="6">
        <v>11.67</v>
      </c>
      <c r="C124" s="6">
        <v>9.1999999999999993</v>
      </c>
      <c r="D124" s="6">
        <v>5.16</v>
      </c>
      <c r="E124" s="6">
        <v>9.8800000000000008</v>
      </c>
      <c r="F124" s="6">
        <v>14.89</v>
      </c>
      <c r="G124" s="6">
        <v>340.11</v>
      </c>
      <c r="H124" s="6">
        <v>16.239999999999998</v>
      </c>
      <c r="I124" s="6">
        <v>1.31</v>
      </c>
      <c r="J124" s="6">
        <v>6.55</v>
      </c>
      <c r="K124" s="6">
        <v>13.89</v>
      </c>
      <c r="L124" s="6">
        <v>12.27</v>
      </c>
      <c r="M124" s="6">
        <v>10.23</v>
      </c>
      <c r="N124" s="6">
        <v>9.9700000000000006</v>
      </c>
      <c r="O124" s="6">
        <v>11.67</v>
      </c>
      <c r="P124" s="6">
        <v>7.41</v>
      </c>
      <c r="Q124" s="6">
        <v>8.83</v>
      </c>
      <c r="R124" s="6">
        <v>10.46</v>
      </c>
      <c r="S124" s="6">
        <v>9.1999999999999993</v>
      </c>
      <c r="T124" s="6">
        <v>11.92</v>
      </c>
      <c r="U124" s="6">
        <v>8.98</v>
      </c>
    </row>
    <row r="125" spans="1:24" x14ac:dyDescent="0.2">
      <c r="A125" s="2" t="s">
        <v>213</v>
      </c>
      <c r="B125" s="2">
        <v>65.22</v>
      </c>
      <c r="C125" s="2">
        <v>66.72</v>
      </c>
      <c r="D125" s="2">
        <v>70.36</v>
      </c>
      <c r="E125" s="2">
        <v>69.95</v>
      </c>
      <c r="F125" s="2">
        <v>70.66</v>
      </c>
      <c r="G125" s="2">
        <v>71.56</v>
      </c>
      <c r="H125" s="2">
        <v>40.04</v>
      </c>
      <c r="I125" s="2">
        <v>37.76</v>
      </c>
      <c r="J125" s="2">
        <v>36.82</v>
      </c>
      <c r="K125" s="2">
        <v>26.49</v>
      </c>
      <c r="L125" s="2">
        <v>65.290000000000006</v>
      </c>
      <c r="M125" s="2">
        <v>61.93</v>
      </c>
      <c r="N125" s="2">
        <v>61.4</v>
      </c>
      <c r="O125" s="2">
        <v>65.22</v>
      </c>
      <c r="P125" s="2">
        <v>59.9</v>
      </c>
      <c r="Q125" s="2">
        <v>58.39</v>
      </c>
      <c r="R125" s="2">
        <v>60.04</v>
      </c>
      <c r="S125" s="2">
        <v>66.72</v>
      </c>
      <c r="T125" s="2">
        <v>63.52</v>
      </c>
      <c r="U125" s="2">
        <v>63.36</v>
      </c>
    </row>
    <row r="126" spans="1:24" x14ac:dyDescent="0.2">
      <c r="A126" s="7" t="s">
        <v>214</v>
      </c>
      <c r="B126" s="7" t="s">
        <v>1</v>
      </c>
      <c r="C126" s="7" t="s">
        <v>1</v>
      </c>
      <c r="D126" s="7" t="s">
        <v>1</v>
      </c>
      <c r="E126" s="7" t="s">
        <v>1</v>
      </c>
      <c r="F126" s="7" t="s">
        <v>1</v>
      </c>
      <c r="G126" s="7" t="s">
        <v>1</v>
      </c>
      <c r="H126" s="7" t="s">
        <v>1</v>
      </c>
      <c r="I126" s="7" t="s">
        <v>1</v>
      </c>
      <c r="J126" s="7" t="s">
        <v>1</v>
      </c>
      <c r="K126" s="7" t="s">
        <v>1</v>
      </c>
      <c r="L126" s="7" t="s">
        <v>1</v>
      </c>
      <c r="M126" s="7" t="s">
        <v>1</v>
      </c>
      <c r="N126" s="7" t="s">
        <v>1</v>
      </c>
      <c r="O126" s="7" t="s">
        <v>1</v>
      </c>
      <c r="P126" s="7" t="s">
        <v>1</v>
      </c>
      <c r="Q126" s="7" t="s">
        <v>1</v>
      </c>
      <c r="R126" s="7" t="s">
        <v>1</v>
      </c>
      <c r="S126" s="7" t="s">
        <v>1</v>
      </c>
      <c r="T126" s="7" t="s">
        <v>1</v>
      </c>
      <c r="U126" s="7" t="s">
        <v>1</v>
      </c>
    </row>
    <row r="127" spans="1:24" x14ac:dyDescent="0.2">
      <c r="A127" s="11" t="s">
        <v>215</v>
      </c>
      <c r="B127" s="19">
        <v>3656</v>
      </c>
      <c r="C127" s="19">
        <v>3062</v>
      </c>
      <c r="D127" s="19">
        <v>2368</v>
      </c>
      <c r="E127" s="19">
        <v>2297</v>
      </c>
      <c r="F127" s="19">
        <v>2020</v>
      </c>
      <c r="G127" s="19">
        <v>1683</v>
      </c>
      <c r="H127" s="19">
        <v>1441</v>
      </c>
      <c r="I127" s="19">
        <v>1364</v>
      </c>
      <c r="J127" s="19">
        <v>1402</v>
      </c>
      <c r="K127" s="19">
        <v>2128</v>
      </c>
      <c r="L127" s="19">
        <v>3222</v>
      </c>
      <c r="M127" s="19">
        <v>3528</v>
      </c>
      <c r="N127" s="19">
        <v>3491</v>
      </c>
      <c r="O127" s="19">
        <v>3656</v>
      </c>
      <c r="P127" s="19">
        <v>3614</v>
      </c>
      <c r="Q127" s="19">
        <v>3712</v>
      </c>
      <c r="R127" s="19">
        <v>3361</v>
      </c>
      <c r="S127" s="19">
        <v>3062</v>
      </c>
      <c r="T127" s="19">
        <v>2886</v>
      </c>
      <c r="U127" s="19">
        <v>2767</v>
      </c>
    </row>
    <row r="128" spans="1:24" x14ac:dyDescent="0.2">
      <c r="A128" s="6" t="s">
        <v>216</v>
      </c>
      <c r="B128" s="6">
        <v>14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13</v>
      </c>
      <c r="M128" s="6">
        <v>13</v>
      </c>
      <c r="N128" s="6">
        <v>13</v>
      </c>
      <c r="O128" s="6">
        <v>14</v>
      </c>
      <c r="P128" s="6">
        <v>14</v>
      </c>
      <c r="Q128" s="6">
        <v>14</v>
      </c>
      <c r="R128" s="6">
        <v>0</v>
      </c>
      <c r="S128" s="6">
        <v>0</v>
      </c>
      <c r="T128" s="6">
        <v>0</v>
      </c>
      <c r="U128" s="6">
        <v>0</v>
      </c>
    </row>
    <row r="129" spans="1:21" x14ac:dyDescent="0.2">
      <c r="A129" s="2" t="s">
        <v>217</v>
      </c>
      <c r="B129" s="21">
        <v>2078</v>
      </c>
      <c r="C129" s="21">
        <v>1956</v>
      </c>
      <c r="D129" s="21">
        <v>1829</v>
      </c>
      <c r="E129" s="21">
        <v>1729</v>
      </c>
      <c r="F129" s="21">
        <v>1550</v>
      </c>
      <c r="G129" s="21">
        <v>1466</v>
      </c>
      <c r="H129" s="21">
        <v>1374</v>
      </c>
      <c r="I129" s="21">
        <v>1305</v>
      </c>
      <c r="J129" s="21">
        <v>1239</v>
      </c>
      <c r="K129" s="21">
        <v>1173</v>
      </c>
      <c r="L129" s="21">
        <v>2178</v>
      </c>
      <c r="M129" s="21">
        <v>2157</v>
      </c>
      <c r="N129" s="21">
        <v>2118</v>
      </c>
      <c r="O129" s="21">
        <v>2078</v>
      </c>
      <c r="P129" s="21">
        <v>2030</v>
      </c>
      <c r="Q129" s="21">
        <v>2024</v>
      </c>
      <c r="R129" s="21">
        <v>1995</v>
      </c>
      <c r="S129" s="21">
        <v>1956</v>
      </c>
      <c r="T129" s="21">
        <v>1918</v>
      </c>
      <c r="U129" s="21">
        <v>1881</v>
      </c>
    </row>
    <row r="130" spans="1:21" x14ac:dyDescent="0.2">
      <c r="A130" s="6" t="s">
        <v>218</v>
      </c>
      <c r="B130" s="22">
        <v>1574</v>
      </c>
      <c r="C130" s="22">
        <v>6057</v>
      </c>
      <c r="D130" s="22">
        <v>4828</v>
      </c>
      <c r="E130" s="22">
        <v>3929</v>
      </c>
      <c r="F130" s="22">
        <v>3276</v>
      </c>
      <c r="G130" s="22">
        <v>2921</v>
      </c>
      <c r="H130" s="22">
        <v>2574</v>
      </c>
      <c r="I130" s="22">
        <v>2397</v>
      </c>
      <c r="J130" s="22">
        <v>2221</v>
      </c>
      <c r="K130" s="22">
        <v>2198</v>
      </c>
      <c r="L130" s="22">
        <v>1039</v>
      </c>
      <c r="M130" s="22">
        <v>1365</v>
      </c>
      <c r="N130" s="22">
        <v>1369</v>
      </c>
      <c r="O130" s="22">
        <v>1574</v>
      </c>
      <c r="P130" s="22">
        <v>1578</v>
      </c>
      <c r="Q130" s="22">
        <v>1683</v>
      </c>
      <c r="R130" s="22">
        <v>6416</v>
      </c>
      <c r="S130" s="22">
        <v>6057</v>
      </c>
      <c r="T130" s="22">
        <v>5775</v>
      </c>
      <c r="U130" s="22">
        <v>5462</v>
      </c>
    </row>
    <row r="131" spans="1:21" x14ac:dyDescent="0.2">
      <c r="A131" s="2" t="s">
        <v>219</v>
      </c>
      <c r="B131" s="9">
        <v>-10</v>
      </c>
      <c r="C131" s="9">
        <v>-7</v>
      </c>
      <c r="D131" s="9">
        <v>-8</v>
      </c>
      <c r="E131" s="9">
        <v>-5</v>
      </c>
      <c r="F131" s="9">
        <v>-4</v>
      </c>
      <c r="G131" s="9">
        <v>-5</v>
      </c>
      <c r="H131" s="9">
        <v>-6</v>
      </c>
      <c r="I131" s="9">
        <v>-3</v>
      </c>
      <c r="J131" s="9">
        <v>-8</v>
      </c>
      <c r="K131" s="9">
        <v>-8</v>
      </c>
      <c r="L131" s="9">
        <v>-8</v>
      </c>
      <c r="M131" s="9">
        <v>-7</v>
      </c>
      <c r="N131" s="9">
        <v>-10</v>
      </c>
      <c r="O131" s="9">
        <v>-10</v>
      </c>
      <c r="P131" s="9">
        <v>-7</v>
      </c>
      <c r="Q131" s="9">
        <v>-9</v>
      </c>
      <c r="R131" s="9">
        <v>-8</v>
      </c>
      <c r="S131" s="9">
        <v>-7</v>
      </c>
      <c r="T131" s="9">
        <v>-8</v>
      </c>
      <c r="U131" s="9">
        <v>-7</v>
      </c>
    </row>
    <row r="132" spans="1:21" x14ac:dyDescent="0.2">
      <c r="A132" s="6" t="s">
        <v>220</v>
      </c>
      <c r="B132" s="6">
        <v>0</v>
      </c>
      <c r="C132" s="6">
        <v>0</v>
      </c>
      <c r="D132" s="6">
        <v>0</v>
      </c>
      <c r="E132" s="6">
        <v>0</v>
      </c>
      <c r="F132" s="6">
        <v>0</v>
      </c>
      <c r="G132" s="6">
        <v>0</v>
      </c>
      <c r="H132" s="13">
        <v>0</v>
      </c>
      <c r="I132" s="13">
        <v>0</v>
      </c>
      <c r="J132" s="13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</row>
    <row r="133" spans="1:21" x14ac:dyDescent="0.2">
      <c r="A133" s="2" t="s">
        <v>221</v>
      </c>
      <c r="B133" s="2">
        <v>0</v>
      </c>
      <c r="C133" s="23">
        <v>-4945</v>
      </c>
      <c r="D133" s="23">
        <v>-4282</v>
      </c>
      <c r="E133" s="23">
        <v>-3356</v>
      </c>
      <c r="F133" s="23">
        <v>-2802</v>
      </c>
      <c r="G133" s="23">
        <v>-2699</v>
      </c>
      <c r="H133" s="23">
        <v>-2501</v>
      </c>
      <c r="I133" s="23">
        <v>-2334</v>
      </c>
      <c r="J133" s="23">
        <v>-2049</v>
      </c>
      <c r="K133" s="23">
        <v>-1235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3">
        <v>-5042</v>
      </c>
      <c r="S133" s="23">
        <v>-4945</v>
      </c>
      <c r="T133" s="23">
        <v>-4799</v>
      </c>
      <c r="U133" s="23">
        <v>-4569</v>
      </c>
    </row>
    <row r="134" spans="1:21" x14ac:dyDescent="0.2">
      <c r="A134" s="7" t="s">
        <v>222</v>
      </c>
      <c r="B134" s="20">
        <v>3656</v>
      </c>
      <c r="C134" s="20">
        <v>3062</v>
      </c>
      <c r="D134" s="20">
        <v>2368</v>
      </c>
      <c r="E134" s="20">
        <v>2297</v>
      </c>
      <c r="F134" s="20">
        <v>2020</v>
      </c>
      <c r="G134" s="20">
        <v>1683</v>
      </c>
      <c r="H134" s="20">
        <v>1441</v>
      </c>
      <c r="I134" s="20">
        <v>1364</v>
      </c>
      <c r="J134" s="20">
        <v>1402</v>
      </c>
      <c r="K134" s="20">
        <v>2128</v>
      </c>
      <c r="L134" s="20">
        <v>3222</v>
      </c>
      <c r="M134" s="20">
        <v>3528</v>
      </c>
      <c r="N134" s="20">
        <v>3491</v>
      </c>
      <c r="O134" s="20">
        <v>3656</v>
      </c>
      <c r="P134" s="20">
        <v>3614</v>
      </c>
      <c r="Q134" s="20">
        <v>3712</v>
      </c>
      <c r="R134" s="20">
        <v>3361</v>
      </c>
      <c r="S134" s="20">
        <v>3062</v>
      </c>
      <c r="T134" s="20">
        <v>2886</v>
      </c>
      <c r="U134" s="20">
        <v>2767</v>
      </c>
    </row>
    <row r="135" spans="1:21" x14ac:dyDescent="0.2">
      <c r="A135" s="2" t="s">
        <v>35</v>
      </c>
      <c r="B135" s="2">
        <v>19.38</v>
      </c>
      <c r="C135" s="2">
        <v>29.31</v>
      </c>
      <c r="D135" s="2">
        <v>3.08</v>
      </c>
      <c r="E135" s="2">
        <v>13.72</v>
      </c>
      <c r="F135" s="2">
        <v>20.03</v>
      </c>
      <c r="G135" s="2">
        <v>16.77</v>
      </c>
      <c r="H135" s="2">
        <v>5.64</v>
      </c>
      <c r="I135" s="9">
        <v>-2.71</v>
      </c>
      <c r="J135" s="9">
        <v>-34.090000000000003</v>
      </c>
      <c r="K135" s="2">
        <v>5.74</v>
      </c>
      <c r="L135" s="9">
        <v>-10.85</v>
      </c>
      <c r="M135" s="9">
        <v>-4.95</v>
      </c>
      <c r="N135" s="2">
        <v>3.85</v>
      </c>
      <c r="O135" s="2">
        <v>19.38</v>
      </c>
      <c r="P135" s="2">
        <v>25.21</v>
      </c>
      <c r="Q135" s="2">
        <v>34.15</v>
      </c>
      <c r="R135" s="2">
        <v>35.450000000000003</v>
      </c>
      <c r="S135" s="2">
        <v>29.31</v>
      </c>
      <c r="T135" s="2">
        <v>24.02</v>
      </c>
      <c r="U135" s="2">
        <v>28.44</v>
      </c>
    </row>
    <row r="136" spans="1:21" x14ac:dyDescent="0.2">
      <c r="A136" s="6" t="s">
        <v>223</v>
      </c>
      <c r="B136" s="6">
        <v>34.78</v>
      </c>
      <c r="C136" s="6">
        <v>33.28</v>
      </c>
      <c r="D136" s="6">
        <v>29.64</v>
      </c>
      <c r="E136" s="6">
        <v>30.05</v>
      </c>
      <c r="F136" s="6">
        <v>29.34</v>
      </c>
      <c r="G136" s="6">
        <v>28.44</v>
      </c>
      <c r="H136" s="6">
        <v>59.96</v>
      </c>
      <c r="I136" s="6">
        <v>62.24</v>
      </c>
      <c r="J136" s="6">
        <v>63.18</v>
      </c>
      <c r="K136" s="6">
        <v>73.510000000000005</v>
      </c>
      <c r="L136" s="6">
        <v>34.71</v>
      </c>
      <c r="M136" s="6">
        <v>38.07</v>
      </c>
      <c r="N136" s="6">
        <v>38.6</v>
      </c>
      <c r="O136" s="6">
        <v>34.78</v>
      </c>
      <c r="P136" s="6">
        <v>40.1</v>
      </c>
      <c r="Q136" s="6">
        <v>41.61</v>
      </c>
      <c r="R136" s="6">
        <v>39.96</v>
      </c>
      <c r="S136" s="6">
        <v>33.28</v>
      </c>
      <c r="T136" s="6">
        <v>36.479999999999997</v>
      </c>
      <c r="U136" s="6">
        <v>36.64</v>
      </c>
    </row>
    <row r="137" spans="1:21" x14ac:dyDescent="0.2">
      <c r="A137" s="11" t="s">
        <v>224</v>
      </c>
      <c r="B137" s="19">
        <v>3656</v>
      </c>
      <c r="C137" s="19">
        <v>3062</v>
      </c>
      <c r="D137" s="19">
        <v>2368</v>
      </c>
      <c r="E137" s="19">
        <v>2297</v>
      </c>
      <c r="F137" s="19">
        <v>2020</v>
      </c>
      <c r="G137" s="19">
        <v>1683</v>
      </c>
      <c r="H137" s="19">
        <v>1441</v>
      </c>
      <c r="I137" s="19">
        <v>1364</v>
      </c>
      <c r="J137" s="19">
        <v>1402</v>
      </c>
      <c r="K137" s="19">
        <v>2128</v>
      </c>
      <c r="L137" s="19">
        <v>3222</v>
      </c>
      <c r="M137" s="19">
        <v>3528</v>
      </c>
      <c r="N137" s="19">
        <v>3491</v>
      </c>
      <c r="O137" s="19">
        <v>3656</v>
      </c>
      <c r="P137" s="19">
        <v>3614</v>
      </c>
      <c r="Q137" s="19">
        <v>3712</v>
      </c>
      <c r="R137" s="19">
        <v>3361</v>
      </c>
      <c r="S137" s="19">
        <v>3062</v>
      </c>
      <c r="T137" s="19">
        <v>2886</v>
      </c>
      <c r="U137" s="19">
        <v>2767</v>
      </c>
    </row>
    <row r="138" spans="1:21" x14ac:dyDescent="0.2">
      <c r="A138" s="6" t="s">
        <v>35</v>
      </c>
      <c r="B138" s="6">
        <v>19.38</v>
      </c>
      <c r="C138" s="6">
        <v>29.31</v>
      </c>
      <c r="D138" s="6">
        <v>3.08</v>
      </c>
      <c r="E138" s="6">
        <v>13.72</v>
      </c>
      <c r="F138" s="6">
        <v>20.03</v>
      </c>
      <c r="G138" s="6">
        <v>16.77</v>
      </c>
      <c r="H138" s="6">
        <v>5.64</v>
      </c>
      <c r="I138" s="13">
        <v>-2.71</v>
      </c>
      <c r="J138" s="13">
        <v>-34.090000000000003</v>
      </c>
      <c r="K138" s="6">
        <v>5.74</v>
      </c>
      <c r="L138" s="13">
        <v>-10.85</v>
      </c>
      <c r="M138" s="13">
        <v>-4.95</v>
      </c>
      <c r="N138" s="6">
        <v>3.85</v>
      </c>
      <c r="O138" s="6">
        <v>19.38</v>
      </c>
      <c r="P138" s="6">
        <v>25.21</v>
      </c>
      <c r="Q138" s="6">
        <v>34.15</v>
      </c>
      <c r="R138" s="6">
        <v>35.450000000000003</v>
      </c>
      <c r="S138" s="6">
        <v>29.31</v>
      </c>
      <c r="T138" s="6">
        <v>24.02</v>
      </c>
      <c r="U138" s="6">
        <v>28.44</v>
      </c>
    </row>
    <row r="139" spans="1:21" x14ac:dyDescent="0.2">
      <c r="A139" s="2" t="s">
        <v>225</v>
      </c>
      <c r="B139" s="2">
        <v>34.78</v>
      </c>
      <c r="C139" s="2">
        <v>33.28</v>
      </c>
      <c r="D139" s="2">
        <v>29.64</v>
      </c>
      <c r="E139" s="2">
        <v>30.05</v>
      </c>
      <c r="F139" s="2">
        <v>29.34</v>
      </c>
      <c r="G139" s="2">
        <v>28.44</v>
      </c>
      <c r="H139" s="2">
        <v>59.96</v>
      </c>
      <c r="I139" s="2">
        <v>62.24</v>
      </c>
      <c r="J139" s="2">
        <v>63.18</v>
      </c>
      <c r="K139" s="2">
        <v>73.510000000000005</v>
      </c>
      <c r="L139" s="2">
        <v>34.71</v>
      </c>
      <c r="M139" s="2">
        <v>38.07</v>
      </c>
      <c r="N139" s="2">
        <v>38.6</v>
      </c>
      <c r="O139" s="2">
        <v>34.78</v>
      </c>
      <c r="P139" s="2">
        <v>40.1</v>
      </c>
      <c r="Q139" s="2">
        <v>41.61</v>
      </c>
      <c r="R139" s="2">
        <v>39.96</v>
      </c>
      <c r="S139" s="2">
        <v>33.28</v>
      </c>
      <c r="T139" s="2">
        <v>36.479999999999997</v>
      </c>
      <c r="U139" s="2">
        <v>36.64</v>
      </c>
    </row>
    <row r="140" spans="1:21" x14ac:dyDescent="0.2">
      <c r="A140" s="7" t="s">
        <v>226</v>
      </c>
      <c r="B140" s="20">
        <v>10512</v>
      </c>
      <c r="C140" s="20">
        <v>9202</v>
      </c>
      <c r="D140" s="20">
        <v>7990</v>
      </c>
      <c r="E140" s="20">
        <v>7644</v>
      </c>
      <c r="F140" s="20">
        <v>6886</v>
      </c>
      <c r="G140" s="20">
        <v>5918</v>
      </c>
      <c r="H140" s="20">
        <v>2404</v>
      </c>
      <c r="I140" s="20">
        <v>2192</v>
      </c>
      <c r="J140" s="20">
        <v>2220</v>
      </c>
      <c r="K140" s="20">
        <v>2895</v>
      </c>
      <c r="L140" s="20">
        <v>9282</v>
      </c>
      <c r="M140" s="20">
        <v>9269</v>
      </c>
      <c r="N140" s="20">
        <v>9044</v>
      </c>
      <c r="O140" s="20">
        <v>10512</v>
      </c>
      <c r="P140" s="20">
        <v>9012</v>
      </c>
      <c r="Q140" s="20">
        <v>8920</v>
      </c>
      <c r="R140" s="20">
        <v>8411</v>
      </c>
      <c r="S140" s="20">
        <v>9202</v>
      </c>
      <c r="T140" s="20">
        <v>7911</v>
      </c>
      <c r="U140" s="20">
        <v>7552</v>
      </c>
    </row>
    <row r="141" spans="1:21" x14ac:dyDescent="0.2">
      <c r="A141" s="2" t="s">
        <v>35</v>
      </c>
      <c r="B141" s="2">
        <v>14.23</v>
      </c>
      <c r="C141" s="2">
        <v>15.16</v>
      </c>
      <c r="D141" s="2">
        <v>4.53</v>
      </c>
      <c r="E141" s="2">
        <v>11.01</v>
      </c>
      <c r="F141" s="2">
        <v>16.350000000000001</v>
      </c>
      <c r="G141" s="2">
        <v>146.22</v>
      </c>
      <c r="H141" s="2">
        <v>9.64</v>
      </c>
      <c r="I141" s="9">
        <v>-1.23</v>
      </c>
      <c r="J141" s="9">
        <v>-23.32</v>
      </c>
      <c r="K141" s="2">
        <v>7.79</v>
      </c>
      <c r="L141" s="2">
        <v>3</v>
      </c>
      <c r="M141" s="2">
        <v>3.91</v>
      </c>
      <c r="N141" s="2">
        <v>7.52</v>
      </c>
      <c r="O141" s="2">
        <v>14.23</v>
      </c>
      <c r="P141" s="2">
        <v>13.91</v>
      </c>
      <c r="Q141" s="2">
        <v>18.11</v>
      </c>
      <c r="R141" s="2">
        <v>19.25</v>
      </c>
      <c r="S141" s="2">
        <v>15.16</v>
      </c>
      <c r="T141" s="2">
        <v>16.05</v>
      </c>
      <c r="U141" s="2">
        <v>15.39</v>
      </c>
    </row>
    <row r="142" spans="1:21" x14ac:dyDescent="0.2">
      <c r="A142" s="6" t="s">
        <v>227</v>
      </c>
      <c r="B142" s="6">
        <v>100</v>
      </c>
      <c r="C142" s="6">
        <v>100</v>
      </c>
      <c r="D142" s="6">
        <v>100</v>
      </c>
      <c r="E142" s="6">
        <v>100</v>
      </c>
      <c r="F142" s="6">
        <v>100</v>
      </c>
      <c r="G142" s="6">
        <v>100</v>
      </c>
      <c r="H142" s="6">
        <v>100</v>
      </c>
      <c r="I142" s="6">
        <v>100</v>
      </c>
      <c r="J142" s="6">
        <v>100</v>
      </c>
      <c r="K142" s="6">
        <v>100</v>
      </c>
      <c r="L142" s="6">
        <v>100</v>
      </c>
      <c r="M142" s="6">
        <v>100</v>
      </c>
      <c r="N142" s="6">
        <v>100</v>
      </c>
      <c r="O142" s="6">
        <v>100</v>
      </c>
      <c r="P142" s="6">
        <v>100</v>
      </c>
      <c r="Q142" s="6">
        <v>100</v>
      </c>
      <c r="R142" s="6">
        <v>100</v>
      </c>
      <c r="S142" s="6">
        <v>100</v>
      </c>
      <c r="T142" s="6">
        <v>100</v>
      </c>
      <c r="U142" s="6">
        <v>100</v>
      </c>
    </row>
    <row r="143" spans="1:21" x14ac:dyDescent="0.2">
      <c r="A143" s="11" t="s">
        <v>93</v>
      </c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</row>
    <row r="144" spans="1:21" x14ac:dyDescent="0.2">
      <c r="A144" s="6" t="s">
        <v>162</v>
      </c>
      <c r="B144" s="6">
        <v>2.69</v>
      </c>
      <c r="C144" s="6">
        <v>2.23</v>
      </c>
      <c r="D144" s="6">
        <v>1.71</v>
      </c>
      <c r="E144" s="6">
        <v>1.64</v>
      </c>
      <c r="F144" s="6">
        <v>1.44</v>
      </c>
      <c r="G144" s="6">
        <v>1.21</v>
      </c>
      <c r="H144" s="6">
        <v>1.04</v>
      </c>
      <c r="I144" s="6">
        <v>0.97</v>
      </c>
      <c r="J144" s="6">
        <v>0.97</v>
      </c>
      <c r="K144" s="6">
        <v>1.39</v>
      </c>
      <c r="L144" s="6">
        <v>2.4300000000000002</v>
      </c>
      <c r="M144" s="6">
        <v>2.63</v>
      </c>
      <c r="N144" s="6">
        <v>2.59</v>
      </c>
      <c r="O144" s="6">
        <v>2.69</v>
      </c>
      <c r="P144" s="6">
        <v>2.65</v>
      </c>
      <c r="Q144" s="6">
        <v>2.71</v>
      </c>
      <c r="R144" s="6">
        <v>2.4500000000000002</v>
      </c>
      <c r="S144" s="6">
        <v>2.23</v>
      </c>
      <c r="T144" s="6">
        <v>2.1</v>
      </c>
      <c r="U144" s="6">
        <v>2.0099999999999998</v>
      </c>
    </row>
    <row r="145" spans="1:21" x14ac:dyDescent="0.2">
      <c r="A145" s="2" t="s">
        <v>228</v>
      </c>
      <c r="B145" s="2">
        <v>2.67</v>
      </c>
      <c r="C145" s="2">
        <v>2.2200000000000002</v>
      </c>
      <c r="D145" s="2">
        <v>1.7</v>
      </c>
      <c r="E145" s="2">
        <v>1.62</v>
      </c>
      <c r="F145" s="2">
        <v>1.43</v>
      </c>
      <c r="G145" s="2">
        <v>1.2</v>
      </c>
      <c r="H145" s="2">
        <v>1.02</v>
      </c>
      <c r="I145" s="2">
        <v>0.96</v>
      </c>
      <c r="J145" s="2">
        <v>0.96</v>
      </c>
      <c r="K145" s="2">
        <v>1.38</v>
      </c>
      <c r="L145" s="2">
        <v>2.41</v>
      </c>
      <c r="M145" s="2">
        <v>2.61</v>
      </c>
      <c r="N145" s="2">
        <v>2.57</v>
      </c>
      <c r="O145" s="2">
        <v>2.67</v>
      </c>
      <c r="P145" s="2">
        <v>2.63</v>
      </c>
      <c r="Q145" s="2">
        <v>2.69</v>
      </c>
      <c r="R145" s="2">
        <v>2.4300000000000002</v>
      </c>
      <c r="S145" s="2">
        <v>2.2200000000000002</v>
      </c>
      <c r="T145" s="2">
        <v>2.08</v>
      </c>
      <c r="U145" s="2">
        <v>1.99</v>
      </c>
    </row>
    <row r="146" spans="1:21" x14ac:dyDescent="0.2">
      <c r="A146" s="6" t="s">
        <v>111</v>
      </c>
      <c r="B146" s="6" t="s">
        <v>1</v>
      </c>
      <c r="C146" s="6" t="s">
        <v>1</v>
      </c>
      <c r="D146" s="6" t="s">
        <v>1</v>
      </c>
      <c r="E146" s="6" t="s">
        <v>1</v>
      </c>
      <c r="F146" s="6" t="s">
        <v>1</v>
      </c>
      <c r="G146" s="6" t="s">
        <v>1</v>
      </c>
      <c r="H146" s="6" t="s">
        <v>1</v>
      </c>
      <c r="I146" s="6" t="s">
        <v>1</v>
      </c>
      <c r="J146" s="6" t="s">
        <v>1</v>
      </c>
      <c r="K146" s="6" t="s">
        <v>1</v>
      </c>
      <c r="L146" s="6" t="s">
        <v>1</v>
      </c>
      <c r="M146" s="6" t="s">
        <v>1</v>
      </c>
      <c r="N146" s="6" t="s">
        <v>1</v>
      </c>
      <c r="O146" s="6" t="s">
        <v>1</v>
      </c>
      <c r="P146" s="6" t="s">
        <v>1</v>
      </c>
      <c r="Q146" s="6" t="s">
        <v>1</v>
      </c>
      <c r="R146" s="6" t="s">
        <v>1</v>
      </c>
      <c r="S146" s="6" t="s">
        <v>1</v>
      </c>
      <c r="T146" s="6" t="s">
        <v>1</v>
      </c>
      <c r="U146" s="6" t="s">
        <v>1</v>
      </c>
    </row>
    <row r="147" spans="1:21" x14ac:dyDescent="0.2">
      <c r="A147" s="2" t="s">
        <v>128</v>
      </c>
      <c r="B147" s="2">
        <v>612</v>
      </c>
      <c r="C147" s="2">
        <v>590</v>
      </c>
      <c r="D147" s="2">
        <v>254</v>
      </c>
      <c r="E147" s="2">
        <v>508</v>
      </c>
      <c r="F147" s="2">
        <v>598</v>
      </c>
      <c r="G147" s="2">
        <v>406</v>
      </c>
      <c r="H147" s="2">
        <v>365</v>
      </c>
      <c r="I147" s="2">
        <v>306</v>
      </c>
      <c r="J147" s="2">
        <v>241</v>
      </c>
      <c r="K147" s="2">
        <v>535</v>
      </c>
      <c r="L147" s="2">
        <v>624</v>
      </c>
      <c r="M147" s="2">
        <v>737</v>
      </c>
      <c r="N147" s="2">
        <v>570</v>
      </c>
      <c r="O147" s="2">
        <v>612</v>
      </c>
      <c r="P147" s="2">
        <v>642</v>
      </c>
      <c r="Q147" s="2">
        <v>743</v>
      </c>
      <c r="R147" s="2">
        <v>648</v>
      </c>
      <c r="S147" s="2">
        <v>590</v>
      </c>
      <c r="T147" s="2">
        <v>582</v>
      </c>
      <c r="U147" s="2">
        <v>574</v>
      </c>
    </row>
    <row r="148" spans="1:21" x14ac:dyDescent="0.2">
      <c r="A148" s="6" t="s">
        <v>229</v>
      </c>
      <c r="B148" s="22">
        <v>8196</v>
      </c>
      <c r="C148" s="22">
        <v>7114</v>
      </c>
      <c r="D148" s="22">
        <v>6099</v>
      </c>
      <c r="E148" s="22">
        <v>5818</v>
      </c>
      <c r="F148" s="22">
        <v>5177</v>
      </c>
      <c r="G148" s="22">
        <v>4537</v>
      </c>
      <c r="H148" s="22">
        <v>1441</v>
      </c>
      <c r="I148" s="22">
        <v>1364</v>
      </c>
      <c r="J148" s="22">
        <v>1402</v>
      </c>
      <c r="K148" s="22">
        <v>2128</v>
      </c>
      <c r="L148" s="22">
        <v>8202</v>
      </c>
      <c r="M148" s="22">
        <v>8309</v>
      </c>
      <c r="N148" s="22">
        <v>8124</v>
      </c>
      <c r="O148" s="22">
        <v>8196</v>
      </c>
      <c r="P148" s="22">
        <v>8097</v>
      </c>
      <c r="Q148" s="22">
        <v>7991</v>
      </c>
      <c r="R148" s="22">
        <v>7519</v>
      </c>
      <c r="S148" s="22">
        <v>7114</v>
      </c>
      <c r="T148" s="22">
        <v>6904</v>
      </c>
      <c r="U148" s="22">
        <v>6655</v>
      </c>
    </row>
    <row r="149" spans="1:21" x14ac:dyDescent="0.2">
      <c r="A149" s="2" t="s">
        <v>122</v>
      </c>
      <c r="B149" s="21">
        <v>4541</v>
      </c>
      <c r="C149" s="21">
        <v>4052</v>
      </c>
      <c r="D149" s="21">
        <v>3731</v>
      </c>
      <c r="E149" s="21">
        <v>3520</v>
      </c>
      <c r="F149" s="21">
        <v>3157</v>
      </c>
      <c r="G149" s="21">
        <v>2854</v>
      </c>
      <c r="H149" s="2">
        <v>0</v>
      </c>
      <c r="I149" s="2">
        <v>0</v>
      </c>
      <c r="J149" s="2">
        <v>0</v>
      </c>
      <c r="K149" s="2">
        <v>0</v>
      </c>
      <c r="L149" s="21">
        <v>4980</v>
      </c>
      <c r="M149" s="21">
        <v>4781</v>
      </c>
      <c r="N149" s="21">
        <v>4633</v>
      </c>
      <c r="O149" s="21">
        <v>4541</v>
      </c>
      <c r="P149" s="21">
        <v>4483</v>
      </c>
      <c r="Q149" s="21">
        <v>4279</v>
      </c>
      <c r="R149" s="21">
        <v>4157</v>
      </c>
      <c r="S149" s="21">
        <v>4052</v>
      </c>
      <c r="T149" s="21">
        <v>4018</v>
      </c>
      <c r="U149" s="21">
        <v>3888</v>
      </c>
    </row>
    <row r="150" spans="1:21" x14ac:dyDescent="0.2">
      <c r="A150" s="6" t="s">
        <v>126</v>
      </c>
      <c r="B150" s="22">
        <v>3118</v>
      </c>
      <c r="C150" s="22">
        <v>2756</v>
      </c>
      <c r="D150" s="22">
        <v>2832</v>
      </c>
      <c r="E150" s="22">
        <v>2444</v>
      </c>
      <c r="F150" s="22">
        <v>2205</v>
      </c>
      <c r="G150" s="22">
        <v>1973</v>
      </c>
      <c r="H150" s="13">
        <v>-677</v>
      </c>
      <c r="I150" s="13">
        <v>-509</v>
      </c>
      <c r="J150" s="13">
        <v>-418</v>
      </c>
      <c r="K150" s="13">
        <v>-663</v>
      </c>
      <c r="L150" s="22">
        <v>3559</v>
      </c>
      <c r="M150" s="22">
        <v>3234</v>
      </c>
      <c r="N150" s="22">
        <v>3218</v>
      </c>
      <c r="O150" s="22">
        <v>3118</v>
      </c>
      <c r="P150" s="22">
        <v>3116</v>
      </c>
      <c r="Q150" s="22">
        <v>2789</v>
      </c>
      <c r="R150" s="22">
        <v>2738</v>
      </c>
      <c r="S150" s="22">
        <v>2756</v>
      </c>
      <c r="T150" s="22">
        <v>2564</v>
      </c>
      <c r="U150" s="22">
        <v>2532</v>
      </c>
    </row>
    <row r="151" spans="1:21" x14ac:dyDescent="0.2">
      <c r="A151" s="11" t="s">
        <v>230</v>
      </c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</row>
    <row r="152" spans="1:21" x14ac:dyDescent="0.2">
      <c r="A152" s="6" t="s">
        <v>231</v>
      </c>
      <c r="B152" s="6">
        <v>1.87</v>
      </c>
      <c r="C152" s="6">
        <v>1.8</v>
      </c>
      <c r="D152" s="6">
        <v>1.82</v>
      </c>
      <c r="E152" s="6">
        <v>1.77</v>
      </c>
      <c r="F152" s="6">
        <v>1.85</v>
      </c>
      <c r="G152" s="6">
        <v>1.87</v>
      </c>
      <c r="H152" s="6">
        <v>1.82</v>
      </c>
      <c r="I152" s="6">
        <v>1.64</v>
      </c>
      <c r="J152" s="6">
        <v>1.54</v>
      </c>
      <c r="K152" s="6">
        <v>1.6</v>
      </c>
      <c r="L152" s="6">
        <v>1.93</v>
      </c>
      <c r="M152" s="6">
        <v>1.55</v>
      </c>
      <c r="N152" s="6">
        <v>1.65</v>
      </c>
      <c r="O152" s="6">
        <v>1.87</v>
      </c>
      <c r="P152" s="6">
        <v>1.96</v>
      </c>
      <c r="Q152" s="6">
        <v>1.61</v>
      </c>
      <c r="R152" s="6">
        <v>1.7</v>
      </c>
      <c r="S152" s="6">
        <v>1.8</v>
      </c>
      <c r="T152" s="6">
        <v>1.83</v>
      </c>
      <c r="U152" s="6">
        <v>1.66</v>
      </c>
    </row>
    <row r="153" spans="1:21" x14ac:dyDescent="0.2">
      <c r="A153" s="2" t="s">
        <v>232</v>
      </c>
      <c r="B153" s="2">
        <v>6.12</v>
      </c>
      <c r="C153" s="2">
        <v>5.97</v>
      </c>
      <c r="D153" s="2">
        <v>7.36</v>
      </c>
      <c r="E153" s="2">
        <v>14.05</v>
      </c>
      <c r="F153" s="2">
        <v>15.11</v>
      </c>
      <c r="G153" s="2">
        <v>5.57</v>
      </c>
      <c r="H153" s="2">
        <v>4.21</v>
      </c>
      <c r="I153" s="2">
        <v>3.89</v>
      </c>
      <c r="J153" s="2">
        <v>6.64</v>
      </c>
      <c r="K153" s="2">
        <v>5.99</v>
      </c>
      <c r="L153" s="2">
        <v>5.9</v>
      </c>
      <c r="M153" s="2">
        <v>5.59</v>
      </c>
      <c r="N153" s="2">
        <v>3.04</v>
      </c>
      <c r="O153" s="2">
        <v>6.12</v>
      </c>
      <c r="P153" s="2">
        <v>4.09</v>
      </c>
      <c r="Q153" s="2">
        <v>3.94</v>
      </c>
      <c r="R153" s="2">
        <v>2.78</v>
      </c>
      <c r="S153" s="2">
        <v>5.97</v>
      </c>
      <c r="T153" s="2">
        <v>4.87</v>
      </c>
      <c r="U153" s="2">
        <v>4.7699999999999996</v>
      </c>
    </row>
    <row r="154" spans="1:21" x14ac:dyDescent="0.2">
      <c r="A154" s="6" t="s">
        <v>233</v>
      </c>
      <c r="B154" s="6">
        <v>8.6199999999999992</v>
      </c>
      <c r="C154" s="6">
        <v>9.17</v>
      </c>
      <c r="D154" s="6">
        <v>9.25</v>
      </c>
      <c r="E154" s="6">
        <v>8.5299999999999994</v>
      </c>
      <c r="F154" s="6">
        <v>8.3699999999999992</v>
      </c>
      <c r="G154" s="6">
        <v>8.9600000000000009</v>
      </c>
      <c r="H154" s="6">
        <v>8.56</v>
      </c>
      <c r="I154" s="6">
        <v>7.53</v>
      </c>
      <c r="J154" s="6">
        <v>8.43</v>
      </c>
      <c r="K154" s="6">
        <v>8.1999999999999993</v>
      </c>
      <c r="L154" s="6">
        <v>9.65</v>
      </c>
      <c r="M154" s="6">
        <v>8.59</v>
      </c>
      <c r="N154" s="6">
        <v>8.59</v>
      </c>
      <c r="O154" s="6">
        <v>8.6199999999999992</v>
      </c>
      <c r="P154" s="6">
        <v>9.34</v>
      </c>
      <c r="Q154" s="6">
        <v>8.23</v>
      </c>
      <c r="R154" s="6">
        <v>8.86</v>
      </c>
      <c r="S154" s="6">
        <v>9.17</v>
      </c>
      <c r="T154" s="6">
        <v>9.2799999999999994</v>
      </c>
      <c r="U154" s="6">
        <v>8.1199999999999992</v>
      </c>
    </row>
    <row r="155" spans="1:21" x14ac:dyDescent="0.2">
      <c r="A155" s="11" t="s">
        <v>234</v>
      </c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</row>
    <row r="156" spans="1:21" x14ac:dyDescent="0.2">
      <c r="A156" s="6" t="s">
        <v>115</v>
      </c>
      <c r="B156" s="6">
        <v>110</v>
      </c>
      <c r="C156" s="6">
        <v>107.21</v>
      </c>
      <c r="D156" s="6">
        <v>84.93</v>
      </c>
      <c r="E156" s="6">
        <v>159.97</v>
      </c>
      <c r="F156" s="6">
        <v>69.900000000000006</v>
      </c>
      <c r="G156" s="6">
        <v>73.87</v>
      </c>
      <c r="H156" s="6">
        <v>51.54</v>
      </c>
      <c r="I156" s="6">
        <v>40.369999999999997</v>
      </c>
      <c r="J156" s="6">
        <v>35.97</v>
      </c>
      <c r="K156" s="6">
        <v>36.67</v>
      </c>
      <c r="L156" s="6">
        <v>15.38</v>
      </c>
      <c r="M156" s="6">
        <v>31.73</v>
      </c>
      <c r="N156" s="6">
        <v>31.81</v>
      </c>
      <c r="O156" s="6">
        <v>32.26</v>
      </c>
      <c r="P156" s="13">
        <v>-1.06</v>
      </c>
      <c r="Q156" s="6">
        <v>38.93</v>
      </c>
      <c r="R156" s="6">
        <v>31.29</v>
      </c>
      <c r="S156" s="6">
        <v>25.47</v>
      </c>
      <c r="T156" s="6">
        <v>31.07</v>
      </c>
      <c r="U156" s="6">
        <v>27.21</v>
      </c>
    </row>
    <row r="157" spans="1:21" x14ac:dyDescent="0.2">
      <c r="A157" s="2" t="s">
        <v>235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2">
      <c r="A158" s="7" t="s">
        <v>236</v>
      </c>
      <c r="B158" s="20">
        <v>6558</v>
      </c>
      <c r="C158" s="20">
        <v>5743</v>
      </c>
      <c r="D158" s="20">
        <v>5161</v>
      </c>
      <c r="E158" s="20">
        <v>4776</v>
      </c>
      <c r="F158" s="20">
        <v>4316</v>
      </c>
      <c r="G158" s="20">
        <v>3950</v>
      </c>
      <c r="H158" s="20">
        <v>3950</v>
      </c>
      <c r="I158" s="14" t="s">
        <v>59</v>
      </c>
      <c r="J158" s="20">
        <v>3683</v>
      </c>
      <c r="K158" s="20">
        <v>3468</v>
      </c>
      <c r="L158" s="14" t="s">
        <v>59</v>
      </c>
      <c r="M158" s="14" t="s">
        <v>59</v>
      </c>
      <c r="N158" s="14" t="s">
        <v>59</v>
      </c>
      <c r="O158" s="14" t="s">
        <v>59</v>
      </c>
      <c r="P158" s="14" t="s">
        <v>59</v>
      </c>
      <c r="Q158" s="14" t="s">
        <v>59</v>
      </c>
      <c r="R158" s="14" t="s">
        <v>59</v>
      </c>
      <c r="S158" s="14" t="s">
        <v>59</v>
      </c>
      <c r="T158" s="14" t="s">
        <v>59</v>
      </c>
      <c r="U158" s="14" t="s">
        <v>59</v>
      </c>
    </row>
    <row r="159" spans="1:21" x14ac:dyDescent="0.2">
      <c r="A159" s="2" t="s">
        <v>237</v>
      </c>
      <c r="B159" s="2">
        <v>465</v>
      </c>
      <c r="C159" s="2">
        <v>413</v>
      </c>
      <c r="D159" s="2">
        <v>375</v>
      </c>
      <c r="E159" s="2">
        <v>347</v>
      </c>
      <c r="F159" s="2">
        <v>319</v>
      </c>
      <c r="G159" s="2">
        <v>294</v>
      </c>
      <c r="H159" s="2">
        <v>294</v>
      </c>
      <c r="I159" s="15" t="s">
        <v>59</v>
      </c>
      <c r="J159" s="2">
        <v>265</v>
      </c>
      <c r="K159" s="2">
        <v>240</v>
      </c>
      <c r="L159" s="15" t="s">
        <v>59</v>
      </c>
      <c r="M159" s="15" t="s">
        <v>59</v>
      </c>
      <c r="N159" s="15" t="s">
        <v>59</v>
      </c>
      <c r="O159" s="15" t="s">
        <v>59</v>
      </c>
      <c r="P159" s="15" t="s">
        <v>59</v>
      </c>
      <c r="Q159" s="15" t="s">
        <v>59</v>
      </c>
      <c r="R159" s="15" t="s">
        <v>59</v>
      </c>
      <c r="S159" s="15" t="s">
        <v>59</v>
      </c>
      <c r="T159" s="15" t="s">
        <v>59</v>
      </c>
      <c r="U159" s="15" t="s">
        <v>59</v>
      </c>
    </row>
    <row r="160" spans="1:21" x14ac:dyDescent="0.2">
      <c r="A160" s="6" t="s">
        <v>238</v>
      </c>
      <c r="B160" s="6">
        <v>507</v>
      </c>
      <c r="C160" s="6">
        <v>450</v>
      </c>
      <c r="D160" s="6">
        <v>404</v>
      </c>
      <c r="E160" s="6">
        <v>377</v>
      </c>
      <c r="F160" s="6">
        <v>345</v>
      </c>
      <c r="G160" s="6">
        <v>297</v>
      </c>
      <c r="H160" s="6">
        <v>297</v>
      </c>
      <c r="I160" s="16" t="s">
        <v>59</v>
      </c>
      <c r="J160" s="6">
        <v>269</v>
      </c>
      <c r="K160" s="6">
        <v>241</v>
      </c>
      <c r="L160" s="16" t="s">
        <v>59</v>
      </c>
      <c r="M160" s="16" t="s">
        <v>59</v>
      </c>
      <c r="N160" s="16" t="s">
        <v>59</v>
      </c>
      <c r="O160" s="16" t="s">
        <v>59</v>
      </c>
      <c r="P160" s="16" t="s">
        <v>59</v>
      </c>
      <c r="Q160" s="16" t="s">
        <v>59</v>
      </c>
      <c r="R160" s="16" t="s">
        <v>59</v>
      </c>
      <c r="S160" s="16" t="s">
        <v>59</v>
      </c>
      <c r="T160" s="16" t="s">
        <v>59</v>
      </c>
      <c r="U160" s="16" t="s">
        <v>59</v>
      </c>
    </row>
    <row r="161" spans="1:21" x14ac:dyDescent="0.2">
      <c r="A161" s="2" t="s">
        <v>239</v>
      </c>
      <c r="B161" s="2">
        <v>499</v>
      </c>
      <c r="C161" s="2">
        <v>444</v>
      </c>
      <c r="D161" s="2">
        <v>397</v>
      </c>
      <c r="E161" s="2">
        <v>368</v>
      </c>
      <c r="F161" s="2">
        <v>340</v>
      </c>
      <c r="G161" s="2">
        <v>295</v>
      </c>
      <c r="H161" s="2">
        <v>295</v>
      </c>
      <c r="I161" s="15" t="s">
        <v>59</v>
      </c>
      <c r="J161" s="2">
        <v>269</v>
      </c>
      <c r="K161" s="2">
        <v>245</v>
      </c>
      <c r="L161" s="15" t="s">
        <v>59</v>
      </c>
      <c r="M161" s="15" t="s">
        <v>59</v>
      </c>
      <c r="N161" s="15" t="s">
        <v>59</v>
      </c>
      <c r="O161" s="15" t="s">
        <v>59</v>
      </c>
      <c r="P161" s="15" t="s">
        <v>59</v>
      </c>
      <c r="Q161" s="15" t="s">
        <v>59</v>
      </c>
      <c r="R161" s="15" t="s">
        <v>59</v>
      </c>
      <c r="S161" s="15" t="s">
        <v>59</v>
      </c>
      <c r="T161" s="15" t="s">
        <v>59</v>
      </c>
      <c r="U161" s="15" t="s">
        <v>59</v>
      </c>
    </row>
    <row r="162" spans="1:21" x14ac:dyDescent="0.2">
      <c r="A162" s="6" t="s">
        <v>240</v>
      </c>
      <c r="B162" s="6">
        <v>484</v>
      </c>
      <c r="C162" s="6">
        <v>437</v>
      </c>
      <c r="D162" s="6">
        <v>389</v>
      </c>
      <c r="E162" s="6">
        <v>360</v>
      </c>
      <c r="F162" s="6">
        <v>330</v>
      </c>
      <c r="G162" s="6">
        <v>295</v>
      </c>
      <c r="H162" s="6">
        <v>295</v>
      </c>
      <c r="I162" s="16" t="s">
        <v>59</v>
      </c>
      <c r="J162" s="6">
        <v>264</v>
      </c>
      <c r="K162" s="6">
        <v>245</v>
      </c>
      <c r="L162" s="16" t="s">
        <v>59</v>
      </c>
      <c r="M162" s="16" t="s">
        <v>59</v>
      </c>
      <c r="N162" s="16" t="s">
        <v>59</v>
      </c>
      <c r="O162" s="16" t="s">
        <v>59</v>
      </c>
      <c r="P162" s="16" t="s">
        <v>59</v>
      </c>
      <c r="Q162" s="16" t="s">
        <v>59</v>
      </c>
      <c r="R162" s="16" t="s">
        <v>59</v>
      </c>
      <c r="S162" s="16" t="s">
        <v>59</v>
      </c>
      <c r="T162" s="16" t="s">
        <v>59</v>
      </c>
      <c r="U162" s="16" t="s">
        <v>59</v>
      </c>
    </row>
    <row r="163" spans="1:21" x14ac:dyDescent="0.2">
      <c r="A163" s="2" t="s">
        <v>241</v>
      </c>
      <c r="B163" s="2">
        <v>468</v>
      </c>
      <c r="C163" s="2">
        <v>423</v>
      </c>
      <c r="D163" s="2">
        <v>383</v>
      </c>
      <c r="E163" s="2">
        <v>351</v>
      </c>
      <c r="F163" s="2">
        <v>321</v>
      </c>
      <c r="G163" s="2">
        <v>291</v>
      </c>
      <c r="H163" s="2">
        <v>291</v>
      </c>
      <c r="I163" s="15" t="s">
        <v>59</v>
      </c>
      <c r="J163" s="2">
        <v>257</v>
      </c>
      <c r="K163" s="2">
        <v>240</v>
      </c>
      <c r="L163" s="15" t="s">
        <v>59</v>
      </c>
      <c r="M163" s="15" t="s">
        <v>59</v>
      </c>
      <c r="N163" s="15" t="s">
        <v>59</v>
      </c>
      <c r="O163" s="15" t="s">
        <v>59</v>
      </c>
      <c r="P163" s="15" t="s">
        <v>59</v>
      </c>
      <c r="Q163" s="15" t="s">
        <v>59</v>
      </c>
      <c r="R163" s="15" t="s">
        <v>59</v>
      </c>
      <c r="S163" s="15" t="s">
        <v>59</v>
      </c>
      <c r="T163" s="15" t="s">
        <v>59</v>
      </c>
      <c r="U163" s="15" t="s">
        <v>59</v>
      </c>
    </row>
    <row r="164" spans="1:21" x14ac:dyDescent="0.2">
      <c r="A164" s="6" t="s">
        <v>242</v>
      </c>
      <c r="B164" s="22">
        <v>4134</v>
      </c>
      <c r="C164" s="22">
        <v>3577</v>
      </c>
      <c r="D164" s="22">
        <v>3213</v>
      </c>
      <c r="E164" s="22">
        <v>2973</v>
      </c>
      <c r="F164" s="22">
        <v>2660</v>
      </c>
      <c r="G164" s="22">
        <v>2478</v>
      </c>
      <c r="H164" s="22">
        <v>2478</v>
      </c>
      <c r="I164" s="16" t="s">
        <v>59</v>
      </c>
      <c r="J164" s="22">
        <v>2359</v>
      </c>
      <c r="K164" s="22">
        <v>2257</v>
      </c>
      <c r="L164" s="16" t="s">
        <v>59</v>
      </c>
      <c r="M164" s="16" t="s">
        <v>59</v>
      </c>
      <c r="N164" s="16" t="s">
        <v>59</v>
      </c>
      <c r="O164" s="16" t="s">
        <v>59</v>
      </c>
      <c r="P164" s="16" t="s">
        <v>59</v>
      </c>
      <c r="Q164" s="16" t="s">
        <v>59</v>
      </c>
      <c r="R164" s="16" t="s">
        <v>59</v>
      </c>
      <c r="S164" s="16" t="s">
        <v>59</v>
      </c>
      <c r="T164" s="16" t="s">
        <v>59</v>
      </c>
      <c r="U164" s="16" t="s">
        <v>59</v>
      </c>
    </row>
    <row r="165" spans="1:21" x14ac:dyDescent="0.2">
      <c r="A165" s="2" t="s">
        <v>243</v>
      </c>
      <c r="B165" s="21">
        <v>4263</v>
      </c>
      <c r="C165" s="21">
        <v>3804</v>
      </c>
      <c r="D165" s="21">
        <v>3495</v>
      </c>
      <c r="E165" s="21">
        <v>3302</v>
      </c>
      <c r="F165" s="21">
        <v>2952</v>
      </c>
      <c r="G165" s="21">
        <v>2681</v>
      </c>
      <c r="H165" s="2">
        <v>0</v>
      </c>
      <c r="I165" s="2">
        <v>0</v>
      </c>
      <c r="J165" s="2">
        <v>0</v>
      </c>
      <c r="K165" s="2">
        <v>0</v>
      </c>
      <c r="L165" s="21">
        <v>4687</v>
      </c>
      <c r="M165" s="21">
        <v>4493</v>
      </c>
      <c r="N165" s="21">
        <v>4349</v>
      </c>
      <c r="O165" s="21">
        <v>4263</v>
      </c>
      <c r="P165" s="21">
        <v>4213</v>
      </c>
      <c r="Q165" s="21">
        <v>4014</v>
      </c>
      <c r="R165" s="21">
        <v>3903</v>
      </c>
      <c r="S165" s="21">
        <v>3804</v>
      </c>
      <c r="T165" s="21">
        <v>3773</v>
      </c>
      <c r="U165" s="21">
        <v>3644</v>
      </c>
    </row>
    <row r="166" spans="1:21" x14ac:dyDescent="0.2">
      <c r="A166" s="6" t="s">
        <v>1</v>
      </c>
      <c r="B166" s="6" t="s">
        <v>1</v>
      </c>
      <c r="C166" s="6" t="s">
        <v>1</v>
      </c>
      <c r="D166" s="6" t="s">
        <v>1</v>
      </c>
      <c r="E166" s="6" t="s">
        <v>1</v>
      </c>
      <c r="F166" s="6" t="s">
        <v>1</v>
      </c>
      <c r="G166" s="6" t="s">
        <v>1</v>
      </c>
      <c r="H166" s="6" t="s">
        <v>1</v>
      </c>
      <c r="I166" s="6" t="s">
        <v>1</v>
      </c>
      <c r="J166" s="6" t="s">
        <v>1</v>
      </c>
      <c r="K166" s="6" t="s">
        <v>1</v>
      </c>
      <c r="L166" s="6" t="s">
        <v>1</v>
      </c>
      <c r="M166" s="6" t="s">
        <v>1</v>
      </c>
      <c r="N166" s="6" t="s">
        <v>1</v>
      </c>
      <c r="O166" s="6" t="s">
        <v>1</v>
      </c>
      <c r="P166" s="6" t="s">
        <v>1</v>
      </c>
      <c r="Q166" s="6" t="s">
        <v>1</v>
      </c>
      <c r="R166" s="6" t="s">
        <v>1</v>
      </c>
      <c r="S166" s="6" t="s">
        <v>1</v>
      </c>
      <c r="T166" s="6" t="s">
        <v>1</v>
      </c>
      <c r="U166" s="6" t="s">
        <v>1</v>
      </c>
    </row>
    <row r="167" spans="1:21" x14ac:dyDescent="0.2">
      <c r="A167" s="2" t="s">
        <v>244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2">
      <c r="A168" s="6" t="s">
        <v>245</v>
      </c>
      <c r="B168" s="6" t="s">
        <v>1</v>
      </c>
      <c r="C168" s="6" t="s">
        <v>1</v>
      </c>
      <c r="D168" s="6" t="s">
        <v>1</v>
      </c>
      <c r="E168" s="6" t="s">
        <v>1</v>
      </c>
      <c r="F168" s="6" t="s">
        <v>1</v>
      </c>
      <c r="G168" s="6" t="s">
        <v>1</v>
      </c>
      <c r="H168" s="6" t="s">
        <v>1</v>
      </c>
      <c r="I168" s="6" t="s">
        <v>1</v>
      </c>
      <c r="J168" s="6" t="s">
        <v>1</v>
      </c>
      <c r="K168" s="6" t="s">
        <v>1</v>
      </c>
      <c r="L168" s="6" t="s">
        <v>1</v>
      </c>
      <c r="M168" s="6" t="s">
        <v>1</v>
      </c>
      <c r="N168" s="6" t="s">
        <v>1</v>
      </c>
      <c r="O168" s="6" t="s">
        <v>1</v>
      </c>
      <c r="P168" s="6" t="s">
        <v>1</v>
      </c>
      <c r="Q168" s="6" t="s">
        <v>1</v>
      </c>
      <c r="R168" s="6" t="s">
        <v>1</v>
      </c>
      <c r="S168" s="6" t="s">
        <v>1</v>
      </c>
      <c r="T168" s="6" t="s">
        <v>1</v>
      </c>
      <c r="U168" s="6" t="s">
        <v>1</v>
      </c>
    </row>
    <row r="169" spans="1:21" x14ac:dyDescent="0.2">
      <c r="A169" s="11" t="s">
        <v>246</v>
      </c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</row>
    <row r="170" spans="1:21" x14ac:dyDescent="0.2">
      <c r="A170" s="6" t="s">
        <v>247</v>
      </c>
      <c r="B170" s="18">
        <v>1534.1</v>
      </c>
      <c r="C170" s="18">
        <v>1228.7</v>
      </c>
      <c r="D170" s="6">
        <v>899.1</v>
      </c>
      <c r="E170" s="6">
        <v>653</v>
      </c>
      <c r="F170" s="6">
        <v>355.8</v>
      </c>
      <c r="G170" s="6">
        <v>350.2</v>
      </c>
      <c r="H170" s="6">
        <v>176.6</v>
      </c>
      <c r="I170" s="6">
        <v>176.3</v>
      </c>
      <c r="J170" s="6">
        <v>22.9</v>
      </c>
      <c r="K170" s="6">
        <v>475.6</v>
      </c>
      <c r="L170" s="6">
        <v>382.1</v>
      </c>
      <c r="M170" s="6">
        <v>436.1</v>
      </c>
      <c r="N170" s="6">
        <v>386.6</v>
      </c>
      <c r="O170" s="6">
        <v>331.8</v>
      </c>
      <c r="P170" s="6">
        <v>387.4</v>
      </c>
      <c r="Q170" s="6">
        <v>455.7</v>
      </c>
      <c r="R170" s="6">
        <v>359.3</v>
      </c>
      <c r="S170" s="6">
        <v>282.10000000000002</v>
      </c>
      <c r="T170" s="6">
        <v>313.2</v>
      </c>
      <c r="U170" s="6">
        <v>341.8</v>
      </c>
    </row>
    <row r="171" spans="1:21" x14ac:dyDescent="0.2">
      <c r="A171" s="11" t="s">
        <v>248</v>
      </c>
      <c r="B171" s="11">
        <v>335</v>
      </c>
      <c r="C171" s="11">
        <v>319.39999999999998</v>
      </c>
      <c r="D171" s="11">
        <v>286.8</v>
      </c>
      <c r="E171" s="11">
        <v>254.7</v>
      </c>
      <c r="F171" s="11">
        <v>423.1</v>
      </c>
      <c r="G171" s="11">
        <v>376.7</v>
      </c>
      <c r="H171" s="11">
        <v>202</v>
      </c>
      <c r="I171" s="11">
        <v>163.30000000000001</v>
      </c>
      <c r="J171" s="11">
        <v>146.4</v>
      </c>
      <c r="K171" s="11">
        <v>130.4</v>
      </c>
      <c r="L171" s="11">
        <v>90.5</v>
      </c>
      <c r="M171" s="11">
        <v>90.9</v>
      </c>
      <c r="N171" s="11">
        <v>87.2</v>
      </c>
      <c r="O171" s="11">
        <v>83.9</v>
      </c>
      <c r="P171" s="11">
        <v>84.3</v>
      </c>
      <c r="Q171" s="11">
        <v>83.6</v>
      </c>
      <c r="R171" s="11">
        <v>83.2</v>
      </c>
      <c r="S171" s="11">
        <v>85.5</v>
      </c>
      <c r="T171" s="11">
        <v>78.5</v>
      </c>
      <c r="U171" s="11">
        <v>78.8</v>
      </c>
    </row>
    <row r="172" spans="1:21" x14ac:dyDescent="0.2">
      <c r="A172" s="6" t="s">
        <v>249</v>
      </c>
      <c r="B172" s="6">
        <v>335</v>
      </c>
      <c r="C172" s="6">
        <v>319.39999999999998</v>
      </c>
      <c r="D172" s="6">
        <v>286.8</v>
      </c>
      <c r="E172" s="6">
        <v>254.7</v>
      </c>
      <c r="F172" s="6">
        <v>423.1</v>
      </c>
      <c r="G172" s="6">
        <v>376.7</v>
      </c>
      <c r="H172" s="6">
        <v>202</v>
      </c>
      <c r="I172" s="6">
        <v>163.30000000000001</v>
      </c>
      <c r="J172" s="6">
        <v>146.4</v>
      </c>
      <c r="K172" s="6">
        <v>130.4</v>
      </c>
      <c r="L172" s="6">
        <v>90.5</v>
      </c>
      <c r="M172" s="6">
        <v>90.9</v>
      </c>
      <c r="N172" s="6">
        <v>87.2</v>
      </c>
      <c r="O172" s="6">
        <v>83.9</v>
      </c>
      <c r="P172" s="6">
        <v>84.3</v>
      </c>
      <c r="Q172" s="6">
        <v>83.6</v>
      </c>
      <c r="R172" s="6">
        <v>83.2</v>
      </c>
      <c r="S172" s="6">
        <v>85.5</v>
      </c>
      <c r="T172" s="6">
        <v>78.5</v>
      </c>
      <c r="U172" s="6">
        <v>78.8</v>
      </c>
    </row>
    <row r="173" spans="1:21" x14ac:dyDescent="0.2">
      <c r="A173" s="11" t="s">
        <v>250</v>
      </c>
      <c r="B173" s="11">
        <v>-42.9</v>
      </c>
      <c r="C173" s="11">
        <v>-9.5</v>
      </c>
      <c r="D173" s="11">
        <v>-43.2</v>
      </c>
      <c r="E173" s="11">
        <v>-12.4</v>
      </c>
      <c r="F173" s="11">
        <v>108.4</v>
      </c>
      <c r="G173" s="11">
        <v>30</v>
      </c>
      <c r="H173" s="11">
        <v>10.6</v>
      </c>
      <c r="I173" s="11">
        <v>-18</v>
      </c>
      <c r="J173" s="11">
        <v>-14.2</v>
      </c>
      <c r="K173" s="11">
        <v>11.7</v>
      </c>
      <c r="L173" s="11">
        <v>104.2</v>
      </c>
      <c r="M173" s="11">
        <v>-2.6</v>
      </c>
      <c r="N173" s="11">
        <v>-7.3</v>
      </c>
      <c r="O173" s="11">
        <v>-33.299999999999997</v>
      </c>
      <c r="P173" s="11">
        <v>-3.8</v>
      </c>
      <c r="Q173" s="11">
        <v>-0.9</v>
      </c>
      <c r="R173" s="11">
        <v>-4.9000000000000004</v>
      </c>
      <c r="S173" s="11">
        <v>-22</v>
      </c>
      <c r="T173" s="11">
        <v>4.5999999999999996</v>
      </c>
      <c r="U173" s="11">
        <v>8.3000000000000007</v>
      </c>
    </row>
    <row r="174" spans="1:21" x14ac:dyDescent="0.2">
      <c r="A174" s="6" t="s">
        <v>251</v>
      </c>
      <c r="B174" s="13">
        <v>-42.9</v>
      </c>
      <c r="C174" s="13">
        <v>-9.5</v>
      </c>
      <c r="D174" s="13">
        <v>-43.2</v>
      </c>
      <c r="E174" s="13">
        <v>-12.4</v>
      </c>
      <c r="F174" s="6">
        <v>108.4</v>
      </c>
      <c r="G174" s="6">
        <v>30</v>
      </c>
      <c r="H174" s="6">
        <v>10.6</v>
      </c>
      <c r="I174" s="13">
        <v>-18</v>
      </c>
      <c r="J174" s="13">
        <v>-14.2</v>
      </c>
      <c r="K174" s="6">
        <v>11.7</v>
      </c>
      <c r="L174" s="6">
        <v>104.2</v>
      </c>
      <c r="M174" s="13">
        <v>-2.6</v>
      </c>
      <c r="N174" s="13">
        <v>-7.3</v>
      </c>
      <c r="O174" s="13">
        <v>-33.299999999999997</v>
      </c>
      <c r="P174" s="13">
        <v>-3.8</v>
      </c>
      <c r="Q174" s="13">
        <v>-0.9</v>
      </c>
      <c r="R174" s="13">
        <v>-4.9000000000000004</v>
      </c>
      <c r="S174" s="13">
        <v>-22</v>
      </c>
      <c r="T174" s="6">
        <v>4.5999999999999996</v>
      </c>
      <c r="U174" s="6">
        <v>8.3000000000000007</v>
      </c>
    </row>
    <row r="175" spans="1:21" x14ac:dyDescent="0.2">
      <c r="A175" s="2" t="s">
        <v>252</v>
      </c>
      <c r="B175" s="2">
        <v>153.1</v>
      </c>
      <c r="C175" s="2">
        <v>149.5</v>
      </c>
      <c r="D175" s="2">
        <v>101.8</v>
      </c>
      <c r="E175" s="2">
        <v>189.4</v>
      </c>
      <c r="F175" s="2">
        <v>115.3</v>
      </c>
      <c r="G175" s="2">
        <v>96.2</v>
      </c>
      <c r="H175" s="2">
        <v>128.4</v>
      </c>
      <c r="I175" s="2">
        <v>78.599999999999994</v>
      </c>
      <c r="J175" s="2">
        <v>85.9</v>
      </c>
      <c r="K175" s="9">
        <v>-2.8</v>
      </c>
      <c r="L175" s="2">
        <v>25.6</v>
      </c>
      <c r="M175" s="2">
        <v>49.3</v>
      </c>
      <c r="N175" s="2">
        <v>43.2</v>
      </c>
      <c r="O175" s="2">
        <v>40.799999999999997</v>
      </c>
      <c r="P175" s="2">
        <v>16.7</v>
      </c>
      <c r="Q175" s="2">
        <v>54.9</v>
      </c>
      <c r="R175" s="2">
        <v>40.6</v>
      </c>
      <c r="S175" s="2">
        <v>49.1</v>
      </c>
      <c r="T175" s="2">
        <v>34.4</v>
      </c>
      <c r="U175" s="2">
        <v>40.1</v>
      </c>
    </row>
    <row r="176" spans="1:21" x14ac:dyDescent="0.2">
      <c r="A176" s="6" t="s">
        <v>253</v>
      </c>
      <c r="B176" s="18">
        <v>1979.3</v>
      </c>
      <c r="C176" s="18">
        <v>1688.2</v>
      </c>
      <c r="D176" s="18">
        <v>1244.5</v>
      </c>
      <c r="E176" s="18">
        <v>1084.7</v>
      </c>
      <c r="F176" s="18">
        <v>1002.5</v>
      </c>
      <c r="G176" s="6">
        <v>853.1</v>
      </c>
      <c r="H176" s="6">
        <v>517.5</v>
      </c>
      <c r="I176" s="6">
        <v>400.2</v>
      </c>
      <c r="J176" s="6">
        <v>241</v>
      </c>
      <c r="K176" s="6">
        <v>614.9</v>
      </c>
      <c r="L176" s="6">
        <v>602.4</v>
      </c>
      <c r="M176" s="6">
        <v>573.9</v>
      </c>
      <c r="N176" s="6">
        <v>509.7</v>
      </c>
      <c r="O176" s="6">
        <v>423.1</v>
      </c>
      <c r="P176" s="6">
        <v>484.7</v>
      </c>
      <c r="Q176" s="6">
        <v>593.20000000000005</v>
      </c>
      <c r="R176" s="6">
        <v>478.3</v>
      </c>
      <c r="S176" s="6">
        <v>394.8</v>
      </c>
      <c r="T176" s="6">
        <v>430.8</v>
      </c>
      <c r="U176" s="6">
        <v>469</v>
      </c>
    </row>
    <row r="177" spans="1:21" x14ac:dyDescent="0.2">
      <c r="A177" s="11" t="s">
        <v>254</v>
      </c>
      <c r="B177" s="11">
        <v>125.8</v>
      </c>
      <c r="C177" s="11">
        <v>95.3</v>
      </c>
      <c r="D177" s="11">
        <v>78.599999999999994</v>
      </c>
      <c r="E177" s="11">
        <v>197.4</v>
      </c>
      <c r="F177" s="11">
        <v>-338.6</v>
      </c>
      <c r="G177" s="11">
        <v>-131.5</v>
      </c>
      <c r="H177" s="11">
        <v>104.1</v>
      </c>
      <c r="I177" s="11">
        <v>68</v>
      </c>
      <c r="J177" s="11">
        <v>108.3</v>
      </c>
      <c r="K177" s="11">
        <v>68.5</v>
      </c>
      <c r="L177" s="11">
        <v>-32.700000000000003</v>
      </c>
      <c r="M177" s="11">
        <v>-12.5</v>
      </c>
      <c r="N177" s="11">
        <v>47.4</v>
      </c>
      <c r="O177" s="11">
        <v>103.6</v>
      </c>
      <c r="P177" s="11">
        <v>-38.200000000000003</v>
      </c>
      <c r="Q177" s="11">
        <v>-30.6</v>
      </c>
      <c r="R177" s="11">
        <v>91</v>
      </c>
      <c r="S177" s="11">
        <v>-129.30000000000001</v>
      </c>
      <c r="T177" s="11">
        <v>49.7</v>
      </c>
      <c r="U177" s="11">
        <v>113.6</v>
      </c>
    </row>
    <row r="178" spans="1:21" x14ac:dyDescent="0.2">
      <c r="A178" s="6" t="s">
        <v>255</v>
      </c>
      <c r="B178" s="13">
        <v>-29.3</v>
      </c>
      <c r="C178" s="13">
        <v>-11.2</v>
      </c>
      <c r="D178" s="13">
        <v>-14</v>
      </c>
      <c r="E178" s="13">
        <v>-1.7</v>
      </c>
      <c r="F178" s="6">
        <v>3</v>
      </c>
      <c r="G178" s="13">
        <v>-2.6</v>
      </c>
      <c r="H178" s="13">
        <v>-8.3000000000000007</v>
      </c>
      <c r="I178" s="13">
        <v>-0.1</v>
      </c>
      <c r="J178" s="13">
        <v>-1.9</v>
      </c>
      <c r="K178" s="13">
        <v>-3.5</v>
      </c>
      <c r="L178" s="6">
        <v>10</v>
      </c>
      <c r="M178" s="13">
        <v>-3.3</v>
      </c>
      <c r="N178" s="6">
        <v>43.2</v>
      </c>
      <c r="O178" s="13">
        <v>-51.3</v>
      </c>
      <c r="P178" s="6">
        <v>3.7</v>
      </c>
      <c r="Q178" s="13">
        <v>-7.8</v>
      </c>
      <c r="R178" s="6">
        <v>26.1</v>
      </c>
      <c r="S178" s="13">
        <v>-44.9</v>
      </c>
      <c r="T178" s="13">
        <v>-10.4</v>
      </c>
      <c r="U178" s="6">
        <v>4.4000000000000004</v>
      </c>
    </row>
    <row r="179" spans="1:21" x14ac:dyDescent="0.2">
      <c r="A179" s="2" t="s">
        <v>112</v>
      </c>
      <c r="B179" s="9">
        <v>-9.8000000000000007</v>
      </c>
      <c r="C179" s="9">
        <v>-3.6</v>
      </c>
      <c r="D179" s="9">
        <v>-3</v>
      </c>
      <c r="E179" s="9">
        <v>-6.4</v>
      </c>
      <c r="F179" s="9">
        <v>-0.4</v>
      </c>
      <c r="G179" s="9">
        <v>-4.5</v>
      </c>
      <c r="H179" s="9">
        <v>-1.7</v>
      </c>
      <c r="I179" s="9">
        <v>-5.3</v>
      </c>
      <c r="J179" s="9">
        <v>-0.1</v>
      </c>
      <c r="K179" s="2">
        <v>0.3</v>
      </c>
      <c r="L179" s="9">
        <v>-6.1</v>
      </c>
      <c r="M179" s="2">
        <v>1</v>
      </c>
      <c r="N179" s="2">
        <v>7.5</v>
      </c>
      <c r="O179" s="2">
        <v>0.7</v>
      </c>
      <c r="P179" s="9">
        <v>-14.3</v>
      </c>
      <c r="Q179" s="2">
        <v>2.4</v>
      </c>
      <c r="R179" s="2">
        <v>1.3</v>
      </c>
      <c r="S179" s="2">
        <v>0.9</v>
      </c>
      <c r="T179" s="9">
        <v>-4.2</v>
      </c>
      <c r="U179" s="9">
        <v>-1.4</v>
      </c>
    </row>
    <row r="180" spans="1:21" x14ac:dyDescent="0.2">
      <c r="A180" s="6" t="s">
        <v>116</v>
      </c>
      <c r="B180" s="6">
        <v>8.5</v>
      </c>
      <c r="C180" s="6">
        <v>5.3</v>
      </c>
      <c r="D180" s="6">
        <v>18.2</v>
      </c>
      <c r="E180" s="6">
        <v>21.4</v>
      </c>
      <c r="F180" s="13">
        <v>-3.9</v>
      </c>
      <c r="G180" s="13">
        <v>-1</v>
      </c>
      <c r="H180" s="6">
        <v>32.1</v>
      </c>
      <c r="I180" s="6">
        <v>10.9</v>
      </c>
      <c r="J180" s="13">
        <v>-6.7</v>
      </c>
      <c r="K180" s="6">
        <v>19.5</v>
      </c>
      <c r="L180" s="6">
        <v>16.899999999999999</v>
      </c>
      <c r="M180" s="13">
        <v>-0.8</v>
      </c>
      <c r="N180" s="6">
        <v>13.2</v>
      </c>
      <c r="O180" s="13">
        <v>-13.8</v>
      </c>
      <c r="P180" s="6">
        <v>14.5</v>
      </c>
      <c r="Q180" s="13">
        <v>-4.8</v>
      </c>
      <c r="R180" s="6">
        <v>12.6</v>
      </c>
      <c r="S180" s="6">
        <v>0.4</v>
      </c>
      <c r="T180" s="6">
        <v>15.7</v>
      </c>
      <c r="U180" s="13">
        <v>-8.1</v>
      </c>
    </row>
    <row r="181" spans="1:21" x14ac:dyDescent="0.2">
      <c r="A181" s="2" t="s">
        <v>256</v>
      </c>
      <c r="B181" s="2">
        <v>62.1</v>
      </c>
      <c r="C181" s="2">
        <v>60.2</v>
      </c>
      <c r="D181" s="9">
        <v>-18.100000000000001</v>
      </c>
      <c r="E181" s="9">
        <v>-33.6</v>
      </c>
      <c r="F181" s="2">
        <v>82.3</v>
      </c>
      <c r="G181" s="2">
        <v>48.3</v>
      </c>
      <c r="H181" s="2">
        <v>51.2</v>
      </c>
      <c r="I181" s="2">
        <v>38.6</v>
      </c>
      <c r="J181" s="2">
        <v>70.5</v>
      </c>
      <c r="K181" s="2">
        <v>25.5</v>
      </c>
      <c r="L181" s="9">
        <v>-36</v>
      </c>
      <c r="M181" s="2">
        <v>84.6</v>
      </c>
      <c r="N181" s="9">
        <v>-107.2</v>
      </c>
      <c r="O181" s="2">
        <v>81.400000000000006</v>
      </c>
      <c r="P181" s="9">
        <v>-31.9</v>
      </c>
      <c r="Q181" s="2">
        <v>72.599999999999994</v>
      </c>
      <c r="R181" s="9">
        <v>-60</v>
      </c>
      <c r="S181" s="2">
        <v>73.3</v>
      </c>
      <c r="T181" s="9">
        <v>-20.6</v>
      </c>
      <c r="U181" s="2">
        <v>44</v>
      </c>
    </row>
    <row r="182" spans="1:21" x14ac:dyDescent="0.2">
      <c r="A182" s="6" t="s">
        <v>257</v>
      </c>
      <c r="B182" s="6">
        <v>94.3</v>
      </c>
      <c r="C182" s="6">
        <v>44.6</v>
      </c>
      <c r="D182" s="6">
        <v>95.6</v>
      </c>
      <c r="E182" s="6">
        <v>217.6</v>
      </c>
      <c r="F182" s="13">
        <v>-419.7</v>
      </c>
      <c r="G182" s="13">
        <v>-171.6</v>
      </c>
      <c r="H182" s="6">
        <v>30.8</v>
      </c>
      <c r="I182" s="6">
        <v>24</v>
      </c>
      <c r="J182" s="6">
        <v>46.5</v>
      </c>
      <c r="K182" s="6">
        <v>26.7</v>
      </c>
      <c r="L182" s="13">
        <v>-17.600000000000001</v>
      </c>
      <c r="M182" s="13">
        <v>-94</v>
      </c>
      <c r="N182" s="6">
        <v>90.6</v>
      </c>
      <c r="O182" s="6">
        <v>86.6</v>
      </c>
      <c r="P182" s="13">
        <v>-10.199999999999999</v>
      </c>
      <c r="Q182" s="13">
        <v>-93</v>
      </c>
      <c r="R182" s="6">
        <v>110.9</v>
      </c>
      <c r="S182" s="13">
        <v>-159</v>
      </c>
      <c r="T182" s="6">
        <v>69.099999999999994</v>
      </c>
      <c r="U182" s="6">
        <v>74.7</v>
      </c>
    </row>
    <row r="183" spans="1:21" x14ac:dyDescent="0.2">
      <c r="A183" s="11" t="s">
        <v>258</v>
      </c>
      <c r="B183" s="12">
        <v>2105.1</v>
      </c>
      <c r="C183" s="12">
        <v>1783.5</v>
      </c>
      <c r="D183" s="12">
        <v>1323.2</v>
      </c>
      <c r="E183" s="12">
        <v>1282.0999999999999</v>
      </c>
      <c r="F183" s="11">
        <v>663.8</v>
      </c>
      <c r="G183" s="11">
        <v>721.6</v>
      </c>
      <c r="H183" s="11">
        <v>621.6</v>
      </c>
      <c r="I183" s="11">
        <v>468.2</v>
      </c>
      <c r="J183" s="11">
        <v>349.2</v>
      </c>
      <c r="K183" s="11">
        <v>683.3</v>
      </c>
      <c r="L183" s="11">
        <v>569.70000000000005</v>
      </c>
      <c r="M183" s="11">
        <v>561.29999999999995</v>
      </c>
      <c r="N183" s="11">
        <v>557.1</v>
      </c>
      <c r="O183" s="11">
        <v>526.79999999999995</v>
      </c>
      <c r="P183" s="11">
        <v>446.5</v>
      </c>
      <c r="Q183" s="11">
        <v>562.6</v>
      </c>
      <c r="R183" s="11">
        <v>569.20000000000005</v>
      </c>
      <c r="S183" s="11">
        <v>265.5</v>
      </c>
      <c r="T183" s="11">
        <v>480.5</v>
      </c>
      <c r="U183" s="11">
        <v>582.5</v>
      </c>
    </row>
    <row r="184" spans="1:21" x14ac:dyDescent="0.2">
      <c r="A184" s="6" t="s">
        <v>35</v>
      </c>
      <c r="B184" s="6">
        <v>18.03</v>
      </c>
      <c r="C184" s="6">
        <v>34.79</v>
      </c>
      <c r="D184" s="6">
        <v>3.21</v>
      </c>
      <c r="E184" s="6">
        <v>93.13</v>
      </c>
      <c r="F184" s="13">
        <v>-8.01</v>
      </c>
      <c r="G184" s="6">
        <v>16.100000000000001</v>
      </c>
      <c r="H184" s="6">
        <v>32.75</v>
      </c>
      <c r="I184" s="6">
        <v>34.07</v>
      </c>
      <c r="J184" s="13">
        <v>-48.89</v>
      </c>
      <c r="K184" s="6">
        <v>0.18</v>
      </c>
      <c r="L184" s="6">
        <v>27.59</v>
      </c>
      <c r="M184" s="13">
        <v>-0.22</v>
      </c>
      <c r="N184" s="13">
        <v>-2.14</v>
      </c>
      <c r="O184" s="6">
        <v>98.44</v>
      </c>
      <c r="P184" s="13">
        <v>-7.07</v>
      </c>
      <c r="Q184" s="13">
        <v>-3.42</v>
      </c>
      <c r="R184" s="6">
        <v>25.1</v>
      </c>
      <c r="S184" s="13">
        <v>-33.9</v>
      </c>
      <c r="T184" s="6">
        <v>36.53</v>
      </c>
      <c r="U184" s="6">
        <v>103.12</v>
      </c>
    </row>
    <row r="185" spans="1:21" x14ac:dyDescent="0.2">
      <c r="A185" s="11" t="s">
        <v>259</v>
      </c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</row>
    <row r="186" spans="1:21" x14ac:dyDescent="0.2">
      <c r="A186" s="7" t="s">
        <v>138</v>
      </c>
      <c r="B186" s="7">
        <v>-593.6</v>
      </c>
      <c r="C186" s="7">
        <v>-560.70000000000005</v>
      </c>
      <c r="D186" s="7">
        <v>-479.2</v>
      </c>
      <c r="E186" s="7">
        <v>-442.5</v>
      </c>
      <c r="F186" s="7">
        <v>-373.4</v>
      </c>
      <c r="G186" s="7">
        <v>-333.9</v>
      </c>
      <c r="H186" s="7">
        <v>-287.39999999999998</v>
      </c>
      <c r="I186" s="7">
        <v>-216.8</v>
      </c>
      <c r="J186" s="7">
        <v>-258.8</v>
      </c>
      <c r="K186" s="7">
        <v>-257.39999999999998</v>
      </c>
      <c r="L186" s="7">
        <v>-163.5</v>
      </c>
      <c r="M186" s="7">
        <v>-160.6</v>
      </c>
      <c r="N186" s="7">
        <v>-144.80000000000001</v>
      </c>
      <c r="O186" s="7">
        <v>-172.9</v>
      </c>
      <c r="P186" s="7">
        <v>-147.5</v>
      </c>
      <c r="Q186" s="7">
        <v>-140.5</v>
      </c>
      <c r="R186" s="7">
        <v>-132.69999999999999</v>
      </c>
      <c r="S186" s="7">
        <v>-171.9</v>
      </c>
      <c r="T186" s="7">
        <v>-131.19999999999999</v>
      </c>
      <c r="U186" s="7">
        <v>-137.19999999999999</v>
      </c>
    </row>
    <row r="187" spans="1:21" x14ac:dyDescent="0.2">
      <c r="A187" s="2" t="s">
        <v>260</v>
      </c>
      <c r="B187" s="9">
        <v>-593.6</v>
      </c>
      <c r="C187" s="9">
        <v>-560.70000000000005</v>
      </c>
      <c r="D187" s="9">
        <v>-479.2</v>
      </c>
      <c r="E187" s="9">
        <v>-442.5</v>
      </c>
      <c r="F187" s="9">
        <v>-373.4</v>
      </c>
      <c r="G187" s="9">
        <v>-333.9</v>
      </c>
      <c r="H187" s="9">
        <v>-287.39999999999998</v>
      </c>
      <c r="I187" s="9">
        <v>-216.8</v>
      </c>
      <c r="J187" s="9">
        <v>-258.8</v>
      </c>
      <c r="K187" s="9">
        <v>-257.39999999999998</v>
      </c>
      <c r="L187" s="9">
        <v>-163.5</v>
      </c>
      <c r="M187" s="9">
        <v>-160.6</v>
      </c>
      <c r="N187" s="9">
        <v>-144.80000000000001</v>
      </c>
      <c r="O187" s="9">
        <v>-172.9</v>
      </c>
      <c r="P187" s="9">
        <v>-147.5</v>
      </c>
      <c r="Q187" s="9">
        <v>-140.5</v>
      </c>
      <c r="R187" s="9">
        <v>-132.69999999999999</v>
      </c>
      <c r="S187" s="9">
        <v>-171.9</v>
      </c>
      <c r="T187" s="9">
        <v>-131.19999999999999</v>
      </c>
      <c r="U187" s="9">
        <v>-137.19999999999999</v>
      </c>
    </row>
    <row r="188" spans="1:21" x14ac:dyDescent="0.2">
      <c r="A188" s="6" t="s">
        <v>261</v>
      </c>
      <c r="B188" s="6">
        <v>20.100000000000001</v>
      </c>
      <c r="C188" s="6">
        <v>0</v>
      </c>
      <c r="D188" s="6">
        <v>0</v>
      </c>
      <c r="E188" s="6">
        <v>4</v>
      </c>
      <c r="F188" s="6">
        <v>0</v>
      </c>
      <c r="G188" s="6">
        <v>0</v>
      </c>
      <c r="H188" s="16" t="s">
        <v>59</v>
      </c>
      <c r="I188" s="16" t="s">
        <v>59</v>
      </c>
      <c r="J188" s="16" t="s">
        <v>59</v>
      </c>
      <c r="K188" s="16" t="s">
        <v>59</v>
      </c>
      <c r="L188" s="6">
        <v>0</v>
      </c>
      <c r="M188" s="6">
        <v>0</v>
      </c>
      <c r="N188" s="6">
        <v>0</v>
      </c>
      <c r="O188" s="6">
        <v>20.100000000000001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</row>
    <row r="189" spans="1:21" x14ac:dyDescent="0.2">
      <c r="A189" s="11" t="s">
        <v>262</v>
      </c>
      <c r="B189" s="11">
        <v>-264</v>
      </c>
      <c r="C189" s="11">
        <v>-385.3</v>
      </c>
      <c r="D189" s="11">
        <v>-350.9</v>
      </c>
      <c r="E189" s="11">
        <v>-83.6</v>
      </c>
      <c r="F189" s="11">
        <v>-59.4</v>
      </c>
      <c r="G189" s="11">
        <v>41.9</v>
      </c>
      <c r="H189" s="11">
        <v>-100.2</v>
      </c>
      <c r="I189" s="11">
        <v>130.19999999999999</v>
      </c>
      <c r="J189" s="11">
        <v>585.6</v>
      </c>
      <c r="K189" s="11">
        <v>-206.7</v>
      </c>
      <c r="L189" s="11">
        <v>148.1</v>
      </c>
      <c r="M189" s="11">
        <v>162.6</v>
      </c>
      <c r="N189" s="11">
        <v>150.9</v>
      </c>
      <c r="O189" s="11">
        <v>16.7</v>
      </c>
      <c r="P189" s="11">
        <v>83.3</v>
      </c>
      <c r="Q189" s="11">
        <v>-195.7</v>
      </c>
      <c r="R189" s="11">
        <v>-168.3</v>
      </c>
      <c r="S189" s="11">
        <v>19.899999999999999</v>
      </c>
      <c r="T189" s="11">
        <v>-35.1</v>
      </c>
      <c r="U189" s="11">
        <v>-254.9</v>
      </c>
    </row>
    <row r="190" spans="1:21" x14ac:dyDescent="0.2">
      <c r="A190" s="6" t="s">
        <v>263</v>
      </c>
      <c r="B190" s="6">
        <v>986.7</v>
      </c>
      <c r="C190" s="18">
        <v>1115.0999999999999</v>
      </c>
      <c r="D190" s="6">
        <v>614.4</v>
      </c>
      <c r="E190" s="6">
        <v>429.4</v>
      </c>
      <c r="F190" s="6">
        <v>478.4</v>
      </c>
      <c r="G190" s="6">
        <v>448.8</v>
      </c>
      <c r="H190" s="6">
        <v>485.2</v>
      </c>
      <c r="I190" s="6">
        <v>199.8</v>
      </c>
      <c r="J190" s="6">
        <v>0</v>
      </c>
      <c r="K190" s="6">
        <v>559.4</v>
      </c>
      <c r="L190" s="6">
        <v>9.1999999999999993</v>
      </c>
      <c r="M190" s="6">
        <v>2.5</v>
      </c>
      <c r="N190" s="6">
        <v>4</v>
      </c>
      <c r="O190" s="6">
        <v>157.80000000000001</v>
      </c>
      <c r="P190" s="6">
        <v>90.4</v>
      </c>
      <c r="Q190" s="6">
        <v>371.6</v>
      </c>
      <c r="R190" s="6">
        <v>366.8</v>
      </c>
      <c r="S190" s="6">
        <v>269.2</v>
      </c>
      <c r="T190" s="6">
        <v>255.3</v>
      </c>
      <c r="U190" s="6">
        <v>375.8</v>
      </c>
    </row>
    <row r="191" spans="1:21" x14ac:dyDescent="0.2">
      <c r="A191" s="2" t="s">
        <v>264</v>
      </c>
      <c r="B191" s="2">
        <v>722.6</v>
      </c>
      <c r="C191" s="2">
        <v>729.9</v>
      </c>
      <c r="D191" s="2">
        <v>263.5</v>
      </c>
      <c r="E191" s="2">
        <v>345.7</v>
      </c>
      <c r="F191" s="2">
        <v>419.1</v>
      </c>
      <c r="G191" s="2">
        <v>490.7</v>
      </c>
      <c r="H191" s="2">
        <v>385</v>
      </c>
      <c r="I191" s="2">
        <v>330</v>
      </c>
      <c r="J191" s="2">
        <v>585.6</v>
      </c>
      <c r="K191" s="2">
        <v>352.7</v>
      </c>
      <c r="L191" s="2">
        <v>157.30000000000001</v>
      </c>
      <c r="M191" s="2">
        <v>165.1</v>
      </c>
      <c r="N191" s="2">
        <v>154.9</v>
      </c>
      <c r="O191" s="2">
        <v>174.6</v>
      </c>
      <c r="P191" s="2">
        <v>173.7</v>
      </c>
      <c r="Q191" s="2">
        <v>175.9</v>
      </c>
      <c r="R191" s="2">
        <v>198.5</v>
      </c>
      <c r="S191" s="2">
        <v>289.10000000000002</v>
      </c>
      <c r="T191" s="2">
        <v>220.2</v>
      </c>
      <c r="U191" s="2">
        <v>120.9</v>
      </c>
    </row>
    <row r="192" spans="1:21" x14ac:dyDescent="0.2">
      <c r="A192" s="7" t="s">
        <v>265</v>
      </c>
      <c r="B192" s="7">
        <v>-837.5</v>
      </c>
      <c r="C192" s="7">
        <v>-946</v>
      </c>
      <c r="D192" s="7">
        <v>-830</v>
      </c>
      <c r="E192" s="7">
        <v>-522</v>
      </c>
      <c r="F192" s="7">
        <v>-432.7</v>
      </c>
      <c r="G192" s="7">
        <v>-292</v>
      </c>
      <c r="H192" s="7">
        <v>-387.6</v>
      </c>
      <c r="I192" s="7">
        <v>-86.6</v>
      </c>
      <c r="J192" s="7">
        <v>326.8</v>
      </c>
      <c r="K192" s="7">
        <v>-464.1</v>
      </c>
      <c r="L192" s="7">
        <v>-15.4</v>
      </c>
      <c r="M192" s="7">
        <v>2</v>
      </c>
      <c r="N192" s="7">
        <v>6.1</v>
      </c>
      <c r="O192" s="7">
        <v>-136</v>
      </c>
      <c r="P192" s="7">
        <v>-64.2</v>
      </c>
      <c r="Q192" s="7">
        <v>-336.2</v>
      </c>
      <c r="R192" s="7">
        <v>-301</v>
      </c>
      <c r="S192" s="7">
        <v>-152</v>
      </c>
      <c r="T192" s="7">
        <v>-166.3</v>
      </c>
      <c r="U192" s="7">
        <v>-392.1</v>
      </c>
    </row>
    <row r="193" spans="1:21" x14ac:dyDescent="0.2">
      <c r="A193" s="2" t="s">
        <v>35</v>
      </c>
      <c r="B193" s="2">
        <v>11.47</v>
      </c>
      <c r="C193" s="9">
        <v>-13.97</v>
      </c>
      <c r="D193" s="9">
        <v>-59</v>
      </c>
      <c r="E193" s="9">
        <v>-20.64</v>
      </c>
      <c r="F193" s="9">
        <v>-48.2</v>
      </c>
      <c r="G193" s="2">
        <v>24.67</v>
      </c>
      <c r="H193" s="9">
        <v>-347.66</v>
      </c>
      <c r="I193" s="9">
        <v>-126.49</v>
      </c>
      <c r="J193" s="15" t="s">
        <v>59</v>
      </c>
      <c r="K193" s="2">
        <v>10.54</v>
      </c>
      <c r="L193" s="2">
        <v>76.02</v>
      </c>
      <c r="M193" s="15" t="s">
        <v>59</v>
      </c>
      <c r="N193" s="15" t="s">
        <v>59</v>
      </c>
      <c r="O193" s="2">
        <v>10.51</v>
      </c>
      <c r="P193" s="2">
        <v>61.37</v>
      </c>
      <c r="Q193" s="2">
        <v>14.26</v>
      </c>
      <c r="R193" s="9">
        <v>-27.8</v>
      </c>
      <c r="S193" s="2">
        <v>17.25</v>
      </c>
      <c r="T193" s="2">
        <v>58.12</v>
      </c>
      <c r="U193" s="9">
        <v>-237.67</v>
      </c>
    </row>
    <row r="194" spans="1:21" x14ac:dyDescent="0.2">
      <c r="A194" s="7" t="s">
        <v>266</v>
      </c>
      <c r="B194" s="7" t="s">
        <v>1</v>
      </c>
      <c r="C194" s="7" t="s">
        <v>1</v>
      </c>
      <c r="D194" s="7" t="s">
        <v>1</v>
      </c>
      <c r="E194" s="7" t="s">
        <v>1</v>
      </c>
      <c r="F194" s="7" t="s">
        <v>1</v>
      </c>
      <c r="G194" s="7" t="s">
        <v>1</v>
      </c>
      <c r="H194" s="7" t="s">
        <v>1</v>
      </c>
      <c r="I194" s="7" t="s">
        <v>1</v>
      </c>
      <c r="J194" s="7" t="s">
        <v>1</v>
      </c>
      <c r="K194" s="7" t="s">
        <v>1</v>
      </c>
      <c r="L194" s="7" t="s">
        <v>1</v>
      </c>
      <c r="M194" s="7" t="s">
        <v>1</v>
      </c>
      <c r="N194" s="7" t="s">
        <v>1</v>
      </c>
      <c r="O194" s="7" t="s">
        <v>1</v>
      </c>
      <c r="P194" s="7" t="s">
        <v>1</v>
      </c>
      <c r="Q194" s="7" t="s">
        <v>1</v>
      </c>
      <c r="R194" s="7" t="s">
        <v>1</v>
      </c>
      <c r="S194" s="7" t="s">
        <v>1</v>
      </c>
      <c r="T194" s="7" t="s">
        <v>1</v>
      </c>
      <c r="U194" s="7" t="s">
        <v>1</v>
      </c>
    </row>
    <row r="195" spans="1:21" x14ac:dyDescent="0.2">
      <c r="A195" s="11" t="s">
        <v>267</v>
      </c>
      <c r="B195" s="12">
        <v>-1001.6</v>
      </c>
      <c r="C195" s="11">
        <v>-661.5</v>
      </c>
      <c r="D195" s="11">
        <v>-929.1</v>
      </c>
      <c r="E195" s="11">
        <v>-546.29999999999995</v>
      </c>
      <c r="F195" s="11">
        <v>-103</v>
      </c>
      <c r="G195" s="11">
        <v>-201</v>
      </c>
      <c r="H195" s="11">
        <v>-160.9</v>
      </c>
      <c r="I195" s="11">
        <v>-285.2</v>
      </c>
      <c r="J195" s="11">
        <v>-837.7</v>
      </c>
      <c r="K195" s="11">
        <v>-460.7</v>
      </c>
      <c r="L195" s="11">
        <v>-686.7</v>
      </c>
      <c r="M195" s="11">
        <v>-443.3</v>
      </c>
      <c r="N195" s="11">
        <v>-553.79999999999995</v>
      </c>
      <c r="O195" s="11">
        <v>-339</v>
      </c>
      <c r="P195" s="11">
        <v>-490.2</v>
      </c>
      <c r="Q195" s="11">
        <v>-145.4</v>
      </c>
      <c r="R195" s="11">
        <v>-27</v>
      </c>
      <c r="S195" s="11">
        <v>-224.2</v>
      </c>
      <c r="T195" s="11">
        <v>-215.6</v>
      </c>
      <c r="U195" s="11">
        <v>-95</v>
      </c>
    </row>
    <row r="196" spans="1:21" x14ac:dyDescent="0.2">
      <c r="A196" s="6" t="s">
        <v>268</v>
      </c>
      <c r="B196" s="24">
        <v>-1001.6</v>
      </c>
      <c r="C196" s="13">
        <v>-592.29999999999995</v>
      </c>
      <c r="D196" s="13">
        <v>-830.1</v>
      </c>
      <c r="E196" s="13">
        <v>-466.5</v>
      </c>
      <c r="F196" s="13">
        <v>-54.4</v>
      </c>
      <c r="G196" s="13">
        <v>-190.6</v>
      </c>
      <c r="H196" s="13">
        <v>-160.9</v>
      </c>
      <c r="I196" s="13">
        <v>-285.2</v>
      </c>
      <c r="J196" s="13">
        <v>-837.7</v>
      </c>
      <c r="K196" s="13">
        <v>-460.7</v>
      </c>
      <c r="L196" s="13">
        <v>-686.7</v>
      </c>
      <c r="M196" s="13">
        <v>-443.3</v>
      </c>
      <c r="N196" s="13">
        <v>-553.79999999999995</v>
      </c>
      <c r="O196" s="13">
        <v>-339</v>
      </c>
      <c r="P196" s="13">
        <v>-490.2</v>
      </c>
      <c r="Q196" s="13">
        <v>-145.4</v>
      </c>
      <c r="R196" s="13">
        <v>-27</v>
      </c>
      <c r="S196" s="13">
        <v>-155</v>
      </c>
      <c r="T196" s="13">
        <v>-215.6</v>
      </c>
      <c r="U196" s="13">
        <v>-95</v>
      </c>
    </row>
    <row r="197" spans="1:21" x14ac:dyDescent="0.2">
      <c r="A197" s="11" t="s">
        <v>269</v>
      </c>
      <c r="B197" s="11">
        <v>0</v>
      </c>
      <c r="C197" s="11">
        <v>-69.099999999999994</v>
      </c>
      <c r="D197" s="11">
        <v>-99</v>
      </c>
      <c r="E197" s="11">
        <v>-79.900000000000006</v>
      </c>
      <c r="F197" s="11">
        <v>-48.6</v>
      </c>
      <c r="G197" s="11">
        <v>-10.4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1">
        <v>0</v>
      </c>
      <c r="S197" s="11">
        <v>-69.099999999999994</v>
      </c>
      <c r="T197" s="11">
        <v>0</v>
      </c>
      <c r="U197" s="11">
        <v>0</v>
      </c>
    </row>
    <row r="198" spans="1:21" x14ac:dyDescent="0.2">
      <c r="A198" s="6" t="s">
        <v>270</v>
      </c>
      <c r="B198" s="6">
        <v>0</v>
      </c>
      <c r="C198" s="13">
        <v>-69.099999999999994</v>
      </c>
      <c r="D198" s="13">
        <v>-99</v>
      </c>
      <c r="E198" s="13">
        <v>-79.900000000000006</v>
      </c>
      <c r="F198" s="13">
        <v>-48.6</v>
      </c>
      <c r="G198" s="13">
        <v>-10.4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13">
        <v>-69.099999999999994</v>
      </c>
      <c r="T198" s="6">
        <v>0</v>
      </c>
      <c r="U198" s="6">
        <v>0</v>
      </c>
    </row>
    <row r="199" spans="1:21" x14ac:dyDescent="0.2">
      <c r="A199" s="11" t="s">
        <v>252</v>
      </c>
      <c r="B199" s="11">
        <v>-72.099999999999994</v>
      </c>
      <c r="C199" s="11">
        <v>0.8</v>
      </c>
      <c r="D199" s="11">
        <v>-0.3</v>
      </c>
      <c r="E199" s="11">
        <v>-2.2999999999999998</v>
      </c>
      <c r="F199" s="11">
        <v>-1.9</v>
      </c>
      <c r="G199" s="11">
        <v>-0.7</v>
      </c>
      <c r="H199" s="11">
        <v>-5.6</v>
      </c>
      <c r="I199" s="11">
        <v>-0.7</v>
      </c>
      <c r="J199" s="11">
        <v>1.4</v>
      </c>
      <c r="K199" s="11">
        <v>74.2</v>
      </c>
      <c r="L199" s="11">
        <v>-13.8</v>
      </c>
      <c r="M199" s="11">
        <v>-0.4</v>
      </c>
      <c r="N199" s="11">
        <v>-31.4</v>
      </c>
      <c r="O199" s="11">
        <v>0.2</v>
      </c>
      <c r="P199" s="11">
        <v>0.7</v>
      </c>
      <c r="Q199" s="11">
        <v>0</v>
      </c>
      <c r="R199" s="11">
        <v>-73.099999999999994</v>
      </c>
      <c r="S199" s="11">
        <v>68.900000000000006</v>
      </c>
      <c r="T199" s="11">
        <v>-0.7</v>
      </c>
      <c r="U199" s="11">
        <v>-0.2</v>
      </c>
    </row>
    <row r="200" spans="1:21" x14ac:dyDescent="0.2">
      <c r="A200" s="6" t="s">
        <v>271</v>
      </c>
      <c r="B200" s="13">
        <v>-74.2</v>
      </c>
      <c r="C200" s="6">
        <v>0</v>
      </c>
      <c r="D200" s="13">
        <v>-0.3</v>
      </c>
      <c r="E200" s="13">
        <v>-2.2999999999999998</v>
      </c>
      <c r="F200" s="13">
        <v>-1.9</v>
      </c>
      <c r="G200" s="13">
        <v>-0.7</v>
      </c>
      <c r="H200" s="13">
        <v>-5.6</v>
      </c>
      <c r="I200" s="13">
        <v>-0.7</v>
      </c>
      <c r="J200" s="6">
        <v>0</v>
      </c>
      <c r="K200" s="13">
        <v>-0.2</v>
      </c>
      <c r="L200" s="13">
        <v>-15.2</v>
      </c>
      <c r="M200" s="13">
        <v>-0.4</v>
      </c>
      <c r="N200" s="13">
        <v>-32.9</v>
      </c>
      <c r="O200" s="13">
        <v>-0.9</v>
      </c>
      <c r="P200" s="13">
        <v>-0.3</v>
      </c>
      <c r="Q200" s="6">
        <v>0</v>
      </c>
      <c r="R200" s="13">
        <v>-73.099999999999994</v>
      </c>
      <c r="S200" s="6">
        <v>68.599999999999994</v>
      </c>
      <c r="T200" s="13">
        <v>-1.1000000000000001</v>
      </c>
      <c r="U200" s="13">
        <v>-0.3</v>
      </c>
    </row>
    <row r="201" spans="1:21" x14ac:dyDescent="0.2">
      <c r="A201" s="2" t="s">
        <v>272</v>
      </c>
      <c r="B201" s="2">
        <v>2.1</v>
      </c>
      <c r="C201" s="2">
        <v>0.8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1.4</v>
      </c>
      <c r="K201" s="2">
        <v>74.400000000000006</v>
      </c>
      <c r="L201" s="2">
        <v>1.4</v>
      </c>
      <c r="M201" s="2">
        <v>0</v>
      </c>
      <c r="N201" s="2">
        <v>1.5</v>
      </c>
      <c r="O201" s="2">
        <v>1.1000000000000001</v>
      </c>
      <c r="P201" s="2">
        <v>1</v>
      </c>
      <c r="Q201" s="2">
        <v>0</v>
      </c>
      <c r="R201" s="2">
        <v>0</v>
      </c>
      <c r="S201" s="2">
        <v>0.3</v>
      </c>
      <c r="T201" s="2">
        <v>0.4</v>
      </c>
      <c r="U201" s="2">
        <v>0.1</v>
      </c>
    </row>
    <row r="202" spans="1:21" x14ac:dyDescent="0.2">
      <c r="A202" s="7" t="s">
        <v>273</v>
      </c>
      <c r="B202" s="8">
        <v>-1073.7</v>
      </c>
      <c r="C202" s="7">
        <v>-660.7</v>
      </c>
      <c r="D202" s="7">
        <v>-929.4</v>
      </c>
      <c r="E202" s="7">
        <v>-548.6</v>
      </c>
      <c r="F202" s="7">
        <v>-104.9</v>
      </c>
      <c r="G202" s="7">
        <v>-201.7</v>
      </c>
      <c r="H202" s="7">
        <v>-166.5</v>
      </c>
      <c r="I202" s="7">
        <v>-285.89999999999998</v>
      </c>
      <c r="J202" s="7">
        <v>-836.3</v>
      </c>
      <c r="K202" s="7">
        <v>-386.4</v>
      </c>
      <c r="L202" s="7">
        <v>-700.5</v>
      </c>
      <c r="M202" s="7">
        <v>-443.7</v>
      </c>
      <c r="N202" s="7">
        <v>-585.20000000000005</v>
      </c>
      <c r="O202" s="7">
        <v>-338.7</v>
      </c>
      <c r="P202" s="7">
        <v>-489.6</v>
      </c>
      <c r="Q202" s="7">
        <v>-145.30000000000001</v>
      </c>
      <c r="R202" s="7">
        <v>-100.1</v>
      </c>
      <c r="S202" s="7">
        <v>-155.30000000000001</v>
      </c>
      <c r="T202" s="7">
        <v>-216.3</v>
      </c>
      <c r="U202" s="7">
        <v>-95.2</v>
      </c>
    </row>
    <row r="203" spans="1:21" x14ac:dyDescent="0.2">
      <c r="A203" s="2" t="s">
        <v>35</v>
      </c>
      <c r="B203" s="9">
        <v>-62.52</v>
      </c>
      <c r="C203" s="2">
        <v>28.92</v>
      </c>
      <c r="D203" s="9">
        <v>-69.41</v>
      </c>
      <c r="E203" s="9">
        <v>-423.22</v>
      </c>
      <c r="F203" s="2">
        <v>48.03</v>
      </c>
      <c r="G203" s="9">
        <v>-21.14</v>
      </c>
      <c r="H203" s="2">
        <v>41.75</v>
      </c>
      <c r="I203" s="2">
        <v>65.81</v>
      </c>
      <c r="J203" s="9">
        <v>-116.41</v>
      </c>
      <c r="K203" s="9">
        <v>-479.05</v>
      </c>
      <c r="L203" s="9">
        <v>-43.08</v>
      </c>
      <c r="M203" s="9">
        <v>-205.27</v>
      </c>
      <c r="N203" s="9">
        <v>-484.74</v>
      </c>
      <c r="O203" s="9">
        <v>-118.14</v>
      </c>
      <c r="P203" s="9">
        <v>-126.37</v>
      </c>
      <c r="Q203" s="9">
        <v>-52.61</v>
      </c>
      <c r="R203" s="2">
        <v>48.38</v>
      </c>
      <c r="S203" s="2">
        <v>24.87</v>
      </c>
      <c r="T203" s="9">
        <v>-99.63</v>
      </c>
      <c r="U203" s="2">
        <v>64.05</v>
      </c>
    </row>
    <row r="204" spans="1:21" x14ac:dyDescent="0.2">
      <c r="A204" s="7" t="s">
        <v>274</v>
      </c>
      <c r="B204" s="7" t="s">
        <v>1</v>
      </c>
      <c r="C204" s="7" t="s">
        <v>1</v>
      </c>
      <c r="D204" s="7" t="s">
        <v>1</v>
      </c>
      <c r="E204" s="7" t="s">
        <v>1</v>
      </c>
      <c r="F204" s="7" t="s">
        <v>1</v>
      </c>
      <c r="G204" s="7" t="s">
        <v>1</v>
      </c>
      <c r="H204" s="7" t="s">
        <v>1</v>
      </c>
      <c r="I204" s="7" t="s">
        <v>1</v>
      </c>
      <c r="J204" s="7" t="s">
        <v>1</v>
      </c>
      <c r="K204" s="7" t="s">
        <v>1</v>
      </c>
      <c r="L204" s="7" t="s">
        <v>1</v>
      </c>
      <c r="M204" s="7" t="s">
        <v>1</v>
      </c>
      <c r="N204" s="7" t="s">
        <v>1</v>
      </c>
      <c r="O204" s="7" t="s">
        <v>1</v>
      </c>
      <c r="P204" s="7" t="s">
        <v>1</v>
      </c>
      <c r="Q204" s="7" t="s">
        <v>1</v>
      </c>
      <c r="R204" s="7" t="s">
        <v>1</v>
      </c>
      <c r="S204" s="7" t="s">
        <v>1</v>
      </c>
      <c r="T204" s="7" t="s">
        <v>1</v>
      </c>
      <c r="U204" s="7" t="s">
        <v>1</v>
      </c>
    </row>
    <row r="205" spans="1:21" x14ac:dyDescent="0.2">
      <c r="A205" s="2" t="s">
        <v>275</v>
      </c>
      <c r="B205" s="9">
        <v>-1.6</v>
      </c>
      <c r="C205" s="2">
        <v>0.4</v>
      </c>
      <c r="D205" s="9">
        <v>-1</v>
      </c>
      <c r="E205" s="9">
        <v>-1</v>
      </c>
      <c r="F205" s="2">
        <v>1.1000000000000001</v>
      </c>
      <c r="G205" s="2">
        <v>0.4</v>
      </c>
      <c r="H205" s="9">
        <v>-1.5</v>
      </c>
      <c r="I205" s="2">
        <v>2.1</v>
      </c>
      <c r="J205" s="2">
        <v>0.1</v>
      </c>
      <c r="K205" s="9">
        <v>-4.2</v>
      </c>
      <c r="L205" s="2">
        <v>0.6</v>
      </c>
      <c r="M205" s="9">
        <v>-0.6</v>
      </c>
      <c r="N205" s="9">
        <v>-0.2</v>
      </c>
      <c r="O205" s="9">
        <v>-0.1</v>
      </c>
      <c r="P205" s="9">
        <v>-0.4</v>
      </c>
      <c r="Q205" s="9">
        <v>-0.4</v>
      </c>
      <c r="R205" s="9">
        <v>-0.8</v>
      </c>
      <c r="S205" s="2">
        <v>0.4</v>
      </c>
      <c r="T205" s="9">
        <v>-0.3</v>
      </c>
      <c r="U205" s="9">
        <v>0</v>
      </c>
    </row>
    <row r="206" spans="1:21" x14ac:dyDescent="0.2">
      <c r="A206" s="6" t="s">
        <v>276</v>
      </c>
      <c r="B206" s="6">
        <v>192.2</v>
      </c>
      <c r="C206" s="6">
        <v>177.2</v>
      </c>
      <c r="D206" s="13">
        <v>-437.3</v>
      </c>
      <c r="E206" s="6">
        <v>210.4</v>
      </c>
      <c r="F206" s="6">
        <v>127.4</v>
      </c>
      <c r="G206" s="6">
        <v>228.3</v>
      </c>
      <c r="H206" s="6">
        <v>66</v>
      </c>
      <c r="I206" s="6">
        <v>97.8</v>
      </c>
      <c r="J206" s="13">
        <v>-160.1</v>
      </c>
      <c r="K206" s="13">
        <v>-171.5</v>
      </c>
      <c r="L206" s="13">
        <v>-145.6</v>
      </c>
      <c r="M206" s="6">
        <v>119.1</v>
      </c>
      <c r="N206" s="13">
        <v>-22.3</v>
      </c>
      <c r="O206" s="6">
        <v>51.9</v>
      </c>
      <c r="P206" s="13">
        <v>-107.7</v>
      </c>
      <c r="Q206" s="6">
        <v>80.7</v>
      </c>
      <c r="R206" s="6">
        <v>167.4</v>
      </c>
      <c r="S206" s="13">
        <v>-41.5</v>
      </c>
      <c r="T206" s="6">
        <v>97.7</v>
      </c>
      <c r="U206" s="6">
        <v>95.1</v>
      </c>
    </row>
    <row r="207" spans="1:21" x14ac:dyDescent="0.2">
      <c r="A207" s="11" t="s">
        <v>141</v>
      </c>
      <c r="B207" s="12">
        <v>1511.5</v>
      </c>
      <c r="C207" s="12">
        <v>1222.7</v>
      </c>
      <c r="D207" s="11">
        <v>844</v>
      </c>
      <c r="E207" s="11">
        <v>839.6</v>
      </c>
      <c r="F207" s="11">
        <v>290.5</v>
      </c>
      <c r="G207" s="11">
        <v>387.7</v>
      </c>
      <c r="H207" s="11">
        <v>334.2</v>
      </c>
      <c r="I207" s="11">
        <v>251.4</v>
      </c>
      <c r="J207" s="11">
        <v>90.4</v>
      </c>
      <c r="K207" s="11">
        <v>425.9</v>
      </c>
      <c r="L207" s="11">
        <v>406.2</v>
      </c>
      <c r="M207" s="11">
        <v>400.7</v>
      </c>
      <c r="N207" s="11">
        <v>412.3</v>
      </c>
      <c r="O207" s="11">
        <v>353.9</v>
      </c>
      <c r="P207" s="11">
        <v>299</v>
      </c>
      <c r="Q207" s="11">
        <v>422.1</v>
      </c>
      <c r="R207" s="11">
        <v>436.5</v>
      </c>
      <c r="S207" s="11">
        <v>93.5</v>
      </c>
      <c r="T207" s="11">
        <v>349.3</v>
      </c>
      <c r="U207" s="11">
        <v>445.3</v>
      </c>
    </row>
    <row r="208" spans="1:21" x14ac:dyDescent="0.2">
      <c r="A208" s="6" t="s">
        <v>35</v>
      </c>
      <c r="B208" s="6">
        <v>23.61</v>
      </c>
      <c r="C208" s="6">
        <v>44.87</v>
      </c>
      <c r="D208" s="6">
        <v>0.53</v>
      </c>
      <c r="E208" s="6">
        <v>189.03</v>
      </c>
      <c r="F208" s="13">
        <v>-25.08</v>
      </c>
      <c r="G208" s="6">
        <v>16.03</v>
      </c>
      <c r="H208" s="6">
        <v>32.9</v>
      </c>
      <c r="I208" s="6">
        <v>178.14</v>
      </c>
      <c r="J208" s="13">
        <v>-78.77</v>
      </c>
      <c r="K208" s="13">
        <v>-0.83</v>
      </c>
      <c r="L208" s="6">
        <v>35.86</v>
      </c>
      <c r="M208" s="13">
        <v>-5.0599999999999996</v>
      </c>
      <c r="N208" s="13">
        <v>-5.56</v>
      </c>
      <c r="O208" s="6">
        <v>278.37</v>
      </c>
      <c r="P208" s="13">
        <v>-14.4</v>
      </c>
      <c r="Q208" s="13">
        <v>-5.21</v>
      </c>
      <c r="R208" s="6">
        <v>30.44</v>
      </c>
      <c r="S208" s="13">
        <v>-63.74</v>
      </c>
      <c r="T208" s="6">
        <v>64.06</v>
      </c>
      <c r="U208" s="6">
        <v>138.82</v>
      </c>
    </row>
    <row r="209" spans="1:36" x14ac:dyDescent="0.2">
      <c r="A209" s="2" t="s">
        <v>158</v>
      </c>
      <c r="B209" s="2">
        <v>1.1000000000000001</v>
      </c>
      <c r="C209" s="2">
        <v>0.9</v>
      </c>
      <c r="D209" s="2">
        <v>0.6</v>
      </c>
      <c r="E209" s="2">
        <v>0.6</v>
      </c>
      <c r="F209" s="2">
        <v>0.2</v>
      </c>
      <c r="G209" s="2">
        <v>0.3</v>
      </c>
      <c r="H209" s="2">
        <v>0.2</v>
      </c>
      <c r="I209" s="2">
        <v>0.2</v>
      </c>
      <c r="J209" s="2">
        <v>0.1</v>
      </c>
      <c r="K209" s="2">
        <v>0.3</v>
      </c>
      <c r="L209" s="2">
        <v>0.3</v>
      </c>
      <c r="M209" s="2">
        <v>0.3</v>
      </c>
      <c r="N209" s="2">
        <v>0.3</v>
      </c>
      <c r="O209" s="2">
        <v>0.3</v>
      </c>
      <c r="P209" s="2">
        <v>0.2</v>
      </c>
      <c r="Q209" s="2">
        <v>0.3</v>
      </c>
      <c r="R209" s="2">
        <v>0.3</v>
      </c>
      <c r="S209" s="2">
        <v>0.1</v>
      </c>
      <c r="T209" s="2">
        <v>0.3</v>
      </c>
      <c r="U209" s="2">
        <v>0.3</v>
      </c>
    </row>
    <row r="210" spans="1:36" x14ac:dyDescent="0.2">
      <c r="A210" s="6" t="s">
        <v>277</v>
      </c>
      <c r="B210" s="6">
        <v>1.82</v>
      </c>
      <c r="C210" s="6">
        <v>1.93</v>
      </c>
      <c r="D210" s="6">
        <v>2.17</v>
      </c>
      <c r="E210" s="6">
        <v>1.68</v>
      </c>
      <c r="F210" s="6">
        <v>0.74</v>
      </c>
      <c r="G210" s="6">
        <v>1.64</v>
      </c>
      <c r="H210" s="6">
        <v>2.77</v>
      </c>
      <c r="I210" s="6">
        <v>3.05</v>
      </c>
      <c r="J210" s="6">
        <v>0.8</v>
      </c>
      <c r="K210" s="6">
        <v>2.82</v>
      </c>
      <c r="L210" s="6">
        <v>3</v>
      </c>
      <c r="M210" s="6">
        <v>1.93</v>
      </c>
      <c r="N210" s="6">
        <v>2.1800000000000002</v>
      </c>
      <c r="O210" s="6">
        <v>1.83</v>
      </c>
      <c r="P210" s="6">
        <v>1.58</v>
      </c>
      <c r="Q210" s="6">
        <v>1.5</v>
      </c>
      <c r="R210" s="6">
        <v>1.65</v>
      </c>
      <c r="S210" s="6">
        <v>1.94</v>
      </c>
      <c r="T210" s="6">
        <v>2.74</v>
      </c>
      <c r="U210" s="6">
        <v>2.11</v>
      </c>
    </row>
    <row r="211" spans="1:36" x14ac:dyDescent="0.2">
      <c r="A211" s="2" t="s">
        <v>111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</row>
    <row r="212" spans="1:36" x14ac:dyDescent="0.2">
      <c r="A212" s="6" t="s">
        <v>278</v>
      </c>
      <c r="B212" s="6">
        <v>532.9</v>
      </c>
      <c r="C212" s="6">
        <v>400.2</v>
      </c>
      <c r="D212" s="6">
        <v>275.8</v>
      </c>
      <c r="E212" s="13">
        <v>-17.8</v>
      </c>
      <c r="F212" s="6">
        <v>85</v>
      </c>
      <c r="G212" s="6">
        <v>109.6</v>
      </c>
      <c r="H212" s="6">
        <v>67.099999999999994</v>
      </c>
      <c r="I212" s="6">
        <v>119.8</v>
      </c>
      <c r="J212" s="6">
        <v>23.9</v>
      </c>
      <c r="K212" s="6">
        <v>248.5</v>
      </c>
      <c r="L212" s="6">
        <v>39.700000000000003</v>
      </c>
      <c r="M212" s="6">
        <v>270.60000000000002</v>
      </c>
      <c r="N212" s="6">
        <v>8.8000000000000007</v>
      </c>
      <c r="O212" s="6">
        <v>124.3</v>
      </c>
      <c r="P212" s="6">
        <v>131.1</v>
      </c>
      <c r="Q212" s="6">
        <v>269.60000000000002</v>
      </c>
      <c r="R212" s="6">
        <v>7.9</v>
      </c>
      <c r="S212" s="6">
        <v>345.6</v>
      </c>
      <c r="T212" s="6">
        <v>21.4</v>
      </c>
      <c r="U212" s="6">
        <v>33.5</v>
      </c>
    </row>
    <row r="213" spans="1:36" x14ac:dyDescent="0.2">
      <c r="A213" s="25" t="s">
        <v>279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</row>
    <row r="215" spans="1:36" x14ac:dyDescent="0.2">
      <c r="A215" s="1" t="s">
        <v>280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</row>
    <row r="216" spans="1:36" x14ac:dyDescent="0.2">
      <c r="A216" s="3">
        <v>88.2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</row>
    <row r="217" spans="1:36" x14ac:dyDescent="0.2">
      <c r="A217" s="2" t="s">
        <v>1</v>
      </c>
      <c r="B217" s="4" t="s">
        <v>1</v>
      </c>
      <c r="C217" s="4" t="s">
        <v>1</v>
      </c>
      <c r="D217" s="4" t="s">
        <v>1</v>
      </c>
      <c r="E217" s="4" t="s">
        <v>1</v>
      </c>
      <c r="F217" s="4" t="s">
        <v>1</v>
      </c>
      <c r="G217" s="4" t="s">
        <v>1</v>
      </c>
      <c r="H217" s="4" t="s">
        <v>1</v>
      </c>
      <c r="I217" s="4" t="s">
        <v>1</v>
      </c>
      <c r="J217" s="4" t="s">
        <v>1</v>
      </c>
      <c r="K217" s="4" t="s">
        <v>1</v>
      </c>
      <c r="L217" s="4" t="s">
        <v>1</v>
      </c>
      <c r="M217" s="4" t="s">
        <v>1</v>
      </c>
      <c r="N217" s="4" t="s">
        <v>1</v>
      </c>
      <c r="O217" s="4" t="s">
        <v>1</v>
      </c>
      <c r="P217" s="4" t="s">
        <v>1</v>
      </c>
      <c r="Q217" s="4" t="s">
        <v>1</v>
      </c>
      <c r="R217" s="4" t="s">
        <v>1</v>
      </c>
      <c r="S217" s="4" t="s">
        <v>1</v>
      </c>
      <c r="T217" s="4" t="s">
        <v>1</v>
      </c>
      <c r="U217" s="4" t="s">
        <v>1</v>
      </c>
    </row>
    <row r="218" spans="1:36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</row>
    <row r="219" spans="1:36" x14ac:dyDescent="0.2">
      <c r="A219" s="5" t="s">
        <v>281</v>
      </c>
      <c r="B219" s="5" t="s">
        <v>1</v>
      </c>
      <c r="C219" s="5" t="s">
        <v>1</v>
      </c>
      <c r="D219" s="5" t="s">
        <v>1</v>
      </c>
      <c r="E219" s="5" t="s">
        <v>1</v>
      </c>
      <c r="F219" s="5" t="s">
        <v>1</v>
      </c>
      <c r="G219" s="5" t="s">
        <v>1</v>
      </c>
      <c r="H219" s="5" t="s">
        <v>1</v>
      </c>
      <c r="I219" s="5" t="s">
        <v>1</v>
      </c>
      <c r="J219" s="5" t="s">
        <v>1</v>
      </c>
      <c r="K219" s="5" t="s">
        <v>1</v>
      </c>
      <c r="L219" s="5" t="s">
        <v>1</v>
      </c>
      <c r="M219" s="5" t="s">
        <v>1</v>
      </c>
      <c r="N219" s="5" t="s">
        <v>1</v>
      </c>
      <c r="O219" s="5" t="s">
        <v>1</v>
      </c>
      <c r="P219" s="5" t="s">
        <v>1</v>
      </c>
      <c r="Q219" s="5" t="s">
        <v>1</v>
      </c>
      <c r="R219" s="5" t="s">
        <v>1</v>
      </c>
      <c r="S219" s="5" t="s">
        <v>1</v>
      </c>
      <c r="T219" s="5" t="s">
        <v>1</v>
      </c>
      <c r="U219" s="5" t="s">
        <v>1</v>
      </c>
      <c r="W219" s="33" t="s">
        <v>282</v>
      </c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</row>
    <row r="220" spans="1:36" x14ac:dyDescent="0.2">
      <c r="A220" s="5" t="s">
        <v>283</v>
      </c>
      <c r="B220" s="5" t="s">
        <v>1</v>
      </c>
      <c r="C220" s="5" t="s">
        <v>1</v>
      </c>
      <c r="D220" s="5" t="s">
        <v>1</v>
      </c>
      <c r="E220" s="5" t="s">
        <v>1</v>
      </c>
      <c r="F220" s="5" t="s">
        <v>1</v>
      </c>
      <c r="G220" s="5" t="s">
        <v>1</v>
      </c>
      <c r="H220" s="5" t="s">
        <v>1</v>
      </c>
      <c r="I220" s="5" t="s">
        <v>1</v>
      </c>
      <c r="J220" s="5" t="s">
        <v>1</v>
      </c>
      <c r="K220" s="5" t="s">
        <v>1</v>
      </c>
      <c r="L220" s="5" t="s">
        <v>1</v>
      </c>
      <c r="M220" s="5" t="s">
        <v>1</v>
      </c>
      <c r="N220" s="5" t="s">
        <v>1</v>
      </c>
      <c r="O220" s="5" t="s">
        <v>1</v>
      </c>
      <c r="P220" s="5" t="s">
        <v>1</v>
      </c>
      <c r="Q220" s="5" t="s">
        <v>1</v>
      </c>
      <c r="R220" s="5" t="s">
        <v>1</v>
      </c>
      <c r="S220" s="5" t="s">
        <v>1</v>
      </c>
      <c r="T220" s="5" t="s">
        <v>1</v>
      </c>
      <c r="U220" s="5" t="s">
        <v>1</v>
      </c>
      <c r="W220" s="33" t="s">
        <v>5</v>
      </c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</row>
    <row r="221" spans="1:36" x14ac:dyDescent="0.2">
      <c r="A221" s="5" t="s">
        <v>6</v>
      </c>
      <c r="B221" s="5" t="s">
        <v>1</v>
      </c>
      <c r="C221" s="5" t="s">
        <v>1</v>
      </c>
      <c r="D221" s="5" t="s">
        <v>1</v>
      </c>
      <c r="E221" s="5" t="s">
        <v>1</v>
      </c>
      <c r="F221" s="5" t="s">
        <v>1</v>
      </c>
      <c r="G221" s="5" t="s">
        <v>1</v>
      </c>
      <c r="H221" s="5" t="s">
        <v>1</v>
      </c>
      <c r="I221" s="5" t="s">
        <v>1</v>
      </c>
      <c r="J221" s="5" t="s">
        <v>1</v>
      </c>
      <c r="K221" s="5" t="s">
        <v>1</v>
      </c>
      <c r="L221" s="5" t="s">
        <v>1</v>
      </c>
      <c r="M221" s="5" t="s">
        <v>1</v>
      </c>
      <c r="N221" s="5" t="s">
        <v>1</v>
      </c>
      <c r="O221" s="5" t="s">
        <v>1</v>
      </c>
      <c r="P221" s="5" t="s">
        <v>1</v>
      </c>
      <c r="Q221" s="5" t="s">
        <v>1</v>
      </c>
      <c r="R221" s="5" t="s">
        <v>1</v>
      </c>
      <c r="S221" s="5" t="s">
        <v>1</v>
      </c>
      <c r="T221" s="5" t="s">
        <v>1</v>
      </c>
      <c r="U221" s="5" t="s">
        <v>1</v>
      </c>
      <c r="W221" s="34" t="s">
        <v>1</v>
      </c>
      <c r="X221" s="34" t="s">
        <v>7</v>
      </c>
    </row>
    <row r="222" spans="1:36" x14ac:dyDescent="0.2">
      <c r="A222" s="5" t="s">
        <v>1</v>
      </c>
      <c r="B222" s="5" t="s">
        <v>8</v>
      </c>
      <c r="C222" s="5" t="s">
        <v>1</v>
      </c>
      <c r="D222" s="5" t="s">
        <v>1</v>
      </c>
      <c r="E222" s="5" t="s">
        <v>1</v>
      </c>
      <c r="F222" s="5" t="s">
        <v>1</v>
      </c>
      <c r="G222" s="5" t="s">
        <v>1</v>
      </c>
      <c r="H222" s="5" t="s">
        <v>1</v>
      </c>
      <c r="I222" s="5" t="s">
        <v>1</v>
      </c>
      <c r="J222" s="5" t="s">
        <v>1</v>
      </c>
      <c r="K222" s="5" t="s">
        <v>1</v>
      </c>
      <c r="L222" s="5" t="s">
        <v>9</v>
      </c>
      <c r="M222" s="5" t="s">
        <v>1</v>
      </c>
      <c r="N222" s="5" t="s">
        <v>1</v>
      </c>
      <c r="O222" s="5" t="s">
        <v>1</v>
      </c>
      <c r="P222" s="5" t="s">
        <v>1</v>
      </c>
      <c r="Q222" s="5" t="s">
        <v>1</v>
      </c>
      <c r="R222" s="5" t="s">
        <v>1</v>
      </c>
      <c r="S222" s="5" t="s">
        <v>1</v>
      </c>
      <c r="T222" s="5" t="s">
        <v>1</v>
      </c>
      <c r="U222" s="5" t="s">
        <v>1</v>
      </c>
      <c r="W222" s="35" t="s">
        <v>10</v>
      </c>
      <c r="X222" s="35">
        <v>1.33</v>
      </c>
    </row>
    <row r="223" spans="1:36" x14ac:dyDescent="0.2">
      <c r="A223" s="5" t="s">
        <v>1</v>
      </c>
      <c r="B223" s="5" t="s">
        <v>11</v>
      </c>
      <c r="C223" s="5" t="s">
        <v>12</v>
      </c>
      <c r="D223" s="5" t="s">
        <v>13</v>
      </c>
      <c r="E223" s="5" t="s">
        <v>14</v>
      </c>
      <c r="F223" s="5" t="s">
        <v>15</v>
      </c>
      <c r="G223" s="5" t="s">
        <v>16</v>
      </c>
      <c r="H223" s="5" t="s">
        <v>17</v>
      </c>
      <c r="I223" s="5" t="s">
        <v>18</v>
      </c>
      <c r="J223" s="5" t="s">
        <v>19</v>
      </c>
      <c r="K223" s="5" t="s">
        <v>20</v>
      </c>
      <c r="L223" s="5" t="s">
        <v>21</v>
      </c>
      <c r="M223" s="5" t="s">
        <v>22</v>
      </c>
      <c r="N223" s="5" t="s">
        <v>23</v>
      </c>
      <c r="O223" s="5" t="s">
        <v>11</v>
      </c>
      <c r="P223" s="5" t="s">
        <v>24</v>
      </c>
      <c r="Q223" s="5" t="s">
        <v>25</v>
      </c>
      <c r="R223" s="5" t="s">
        <v>26</v>
      </c>
      <c r="S223" s="5" t="s">
        <v>12</v>
      </c>
      <c r="T223" s="5" t="s">
        <v>27</v>
      </c>
      <c r="U223" s="5" t="s">
        <v>28</v>
      </c>
      <c r="W223" s="33" t="s">
        <v>29</v>
      </c>
      <c r="X223" s="33">
        <v>1.24</v>
      </c>
    </row>
    <row r="224" spans="1:36" x14ac:dyDescent="0.2">
      <c r="A224" s="5" t="s">
        <v>1</v>
      </c>
      <c r="B224" s="5" t="s">
        <v>1</v>
      </c>
      <c r="C224" s="5" t="s">
        <v>1</v>
      </c>
      <c r="D224" s="5" t="s">
        <v>30</v>
      </c>
      <c r="E224" s="5" t="s">
        <v>1</v>
      </c>
      <c r="F224" s="5" t="s">
        <v>1</v>
      </c>
      <c r="G224" s="5" t="s">
        <v>1</v>
      </c>
      <c r="H224" s="5" t="s">
        <v>1</v>
      </c>
      <c r="I224" s="5" t="s">
        <v>1</v>
      </c>
      <c r="J224" s="5" t="s">
        <v>1</v>
      </c>
      <c r="K224" s="5" t="s">
        <v>1</v>
      </c>
      <c r="L224" s="5" t="s">
        <v>1</v>
      </c>
      <c r="M224" s="5" t="s">
        <v>1</v>
      </c>
      <c r="N224" s="5" t="s">
        <v>1</v>
      </c>
      <c r="O224" s="5" t="s">
        <v>1</v>
      </c>
      <c r="P224" s="5" t="s">
        <v>1</v>
      </c>
      <c r="Q224" s="5" t="s">
        <v>1</v>
      </c>
      <c r="R224" s="5" t="s">
        <v>1</v>
      </c>
      <c r="S224" s="5" t="s">
        <v>1</v>
      </c>
      <c r="T224" s="5" t="s">
        <v>1</v>
      </c>
      <c r="U224" s="5" t="s">
        <v>1</v>
      </c>
      <c r="W224" s="35" t="s">
        <v>31</v>
      </c>
      <c r="X224" s="35">
        <v>1.33</v>
      </c>
    </row>
    <row r="225" spans="1:24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W225" s="33"/>
      <c r="X225" s="33"/>
    </row>
    <row r="226" spans="1:24" x14ac:dyDescent="0.2">
      <c r="A226" s="6" t="s">
        <v>32</v>
      </c>
      <c r="B226" s="6" t="s">
        <v>1</v>
      </c>
      <c r="C226" s="6" t="s">
        <v>1</v>
      </c>
      <c r="D226" s="6" t="s">
        <v>1</v>
      </c>
      <c r="E226" s="6" t="s">
        <v>1</v>
      </c>
      <c r="F226" s="6" t="s">
        <v>1</v>
      </c>
      <c r="G226" s="6" t="s">
        <v>1</v>
      </c>
      <c r="H226" s="6" t="s">
        <v>1</v>
      </c>
      <c r="I226" s="6" t="s">
        <v>1</v>
      </c>
      <c r="J226" s="6" t="s">
        <v>1</v>
      </c>
      <c r="K226" s="6" t="s">
        <v>1</v>
      </c>
      <c r="L226" s="6" t="s">
        <v>1</v>
      </c>
      <c r="M226" s="6" t="s">
        <v>1</v>
      </c>
      <c r="N226" s="6" t="s">
        <v>1</v>
      </c>
      <c r="O226" s="6" t="s">
        <v>1</v>
      </c>
      <c r="P226" s="6" t="s">
        <v>1</v>
      </c>
      <c r="Q226" s="6" t="s">
        <v>1</v>
      </c>
      <c r="R226" s="6" t="s">
        <v>1</v>
      </c>
      <c r="S226" s="6" t="s">
        <v>1</v>
      </c>
      <c r="T226" s="6" t="s">
        <v>1</v>
      </c>
      <c r="U226" s="6" t="s">
        <v>1</v>
      </c>
      <c r="W226" s="33" t="s">
        <v>33</v>
      </c>
      <c r="X226" s="33"/>
    </row>
    <row r="227" spans="1:24" x14ac:dyDescent="0.2">
      <c r="A227" s="2" t="s">
        <v>32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W227" s="34" t="s">
        <v>1</v>
      </c>
      <c r="X227" s="34" t="s">
        <v>7</v>
      </c>
    </row>
    <row r="228" spans="1:24" x14ac:dyDescent="0.2">
      <c r="A228" s="7" t="s">
        <v>34</v>
      </c>
      <c r="B228" s="8">
        <v>1252.6099999999999</v>
      </c>
      <c r="C228" s="8">
        <v>1087.53</v>
      </c>
      <c r="D228" s="7">
        <v>900.49</v>
      </c>
      <c r="E228" s="7">
        <v>739.89</v>
      </c>
      <c r="F228" s="7">
        <v>522.87</v>
      </c>
      <c r="G228" s="7">
        <v>594.52</v>
      </c>
      <c r="H228" s="7">
        <v>459.31</v>
      </c>
      <c r="I228" s="7">
        <v>358.81</v>
      </c>
      <c r="J228" s="7">
        <v>268.48</v>
      </c>
      <c r="K228" s="7">
        <v>190.59</v>
      </c>
      <c r="L228" s="7">
        <v>367.41</v>
      </c>
      <c r="M228" s="7">
        <v>356.47</v>
      </c>
      <c r="N228" s="7">
        <v>320.89999999999998</v>
      </c>
      <c r="O228" s="7">
        <v>328.68</v>
      </c>
      <c r="P228" s="7">
        <v>316.92</v>
      </c>
      <c r="Q228" s="7">
        <v>316.5</v>
      </c>
      <c r="R228" s="7">
        <v>290.5</v>
      </c>
      <c r="S228" s="7">
        <v>286.24</v>
      </c>
      <c r="T228" s="7">
        <v>276.20999999999998</v>
      </c>
      <c r="U228" s="7">
        <v>271.81</v>
      </c>
      <c r="W228" s="42" t="s">
        <v>34</v>
      </c>
      <c r="X228" s="43">
        <v>1455</v>
      </c>
    </row>
    <row r="229" spans="1:24" x14ac:dyDescent="0.2">
      <c r="A229" s="2" t="s">
        <v>35</v>
      </c>
      <c r="B229" s="2">
        <v>15.18</v>
      </c>
      <c r="C229" s="2">
        <v>20.77</v>
      </c>
      <c r="D229" s="2">
        <v>21.7</v>
      </c>
      <c r="E229" s="2">
        <v>41.51</v>
      </c>
      <c r="F229" s="9">
        <v>-12.05</v>
      </c>
      <c r="G229" s="2">
        <v>29.44</v>
      </c>
      <c r="H229" s="2">
        <v>28.01</v>
      </c>
      <c r="I229" s="2">
        <v>33.65</v>
      </c>
      <c r="J229" s="2">
        <v>40.86</v>
      </c>
      <c r="K229" s="2">
        <v>60.8</v>
      </c>
      <c r="L229" s="2">
        <v>15.93</v>
      </c>
      <c r="M229" s="2">
        <v>12.63</v>
      </c>
      <c r="N229" s="2">
        <v>10.46</v>
      </c>
      <c r="O229" s="2">
        <v>14.83</v>
      </c>
      <c r="P229" s="2">
        <v>14.74</v>
      </c>
      <c r="Q229" s="2">
        <v>16.440000000000001</v>
      </c>
      <c r="R229" s="2">
        <v>14.7</v>
      </c>
      <c r="S229" s="2">
        <v>20</v>
      </c>
      <c r="T229" s="2">
        <v>21.24</v>
      </c>
      <c r="U229" s="2">
        <v>17.79</v>
      </c>
      <c r="W229" s="33" t="s">
        <v>284</v>
      </c>
      <c r="X229" s="44">
        <v>1401</v>
      </c>
    </row>
    <row r="230" spans="1:24" x14ac:dyDescent="0.2">
      <c r="A230" s="7" t="s">
        <v>37</v>
      </c>
      <c r="B230" s="8">
        <v>1054.75</v>
      </c>
      <c r="C230" s="7">
        <v>931.63</v>
      </c>
      <c r="D230" s="7">
        <v>791.4</v>
      </c>
      <c r="E230" s="7">
        <v>656.07</v>
      </c>
      <c r="F230" s="7">
        <v>485.21</v>
      </c>
      <c r="G230" s="7">
        <v>487.31</v>
      </c>
      <c r="H230" s="7">
        <v>361.68</v>
      </c>
      <c r="I230" s="7">
        <v>275.77999999999997</v>
      </c>
      <c r="J230" s="7">
        <v>200.56</v>
      </c>
      <c r="K230" s="7">
        <v>140.57</v>
      </c>
      <c r="L230" s="7">
        <v>299.86</v>
      </c>
      <c r="M230" s="7">
        <v>288.14999999999998</v>
      </c>
      <c r="N230" s="7">
        <v>272.75</v>
      </c>
      <c r="O230" s="7">
        <v>271.11</v>
      </c>
      <c r="P230" s="7">
        <v>267</v>
      </c>
      <c r="Q230" s="7">
        <v>265.39</v>
      </c>
      <c r="R230" s="7">
        <v>251.77</v>
      </c>
      <c r="S230" s="7">
        <v>246.16</v>
      </c>
      <c r="T230" s="7">
        <v>234.59</v>
      </c>
      <c r="U230" s="7">
        <v>230</v>
      </c>
      <c r="W230" s="35" t="s">
        <v>285</v>
      </c>
      <c r="X230" s="35">
        <v>54</v>
      </c>
    </row>
    <row r="231" spans="1:24" x14ac:dyDescent="0.2">
      <c r="A231" s="2" t="s">
        <v>39</v>
      </c>
      <c r="B231" s="2">
        <v>950.14</v>
      </c>
      <c r="C231" s="2">
        <v>838.59</v>
      </c>
      <c r="D231" s="2">
        <v>717.1</v>
      </c>
      <c r="E231" s="2">
        <v>595.84</v>
      </c>
      <c r="F231" s="2">
        <v>434.96</v>
      </c>
      <c r="G231" s="2">
        <v>446.61</v>
      </c>
      <c r="H231" s="2">
        <v>332.68</v>
      </c>
      <c r="I231" s="2">
        <v>254.08</v>
      </c>
      <c r="J231" s="2">
        <v>186.06</v>
      </c>
      <c r="K231" s="2">
        <v>130.35</v>
      </c>
      <c r="L231" s="2">
        <v>272.27</v>
      </c>
      <c r="M231" s="2">
        <v>261.04000000000002</v>
      </c>
      <c r="N231" s="2">
        <v>245.6</v>
      </c>
      <c r="O231" s="2">
        <v>244.74</v>
      </c>
      <c r="P231" s="2">
        <v>240.75</v>
      </c>
      <c r="Q231" s="2">
        <v>238.85</v>
      </c>
      <c r="R231" s="2">
        <v>225.81</v>
      </c>
      <c r="S231" s="2">
        <v>221.15</v>
      </c>
      <c r="T231" s="2">
        <v>211.02</v>
      </c>
      <c r="U231" s="2">
        <v>206.87</v>
      </c>
      <c r="W231" s="33"/>
      <c r="X231" s="33"/>
    </row>
    <row r="232" spans="1:24" x14ac:dyDescent="0.2">
      <c r="A232" s="7" t="s">
        <v>40</v>
      </c>
      <c r="B232" s="7">
        <v>104.61</v>
      </c>
      <c r="C232" s="7">
        <v>93.04</v>
      </c>
      <c r="D232" s="7">
        <v>74.3</v>
      </c>
      <c r="E232" s="7">
        <v>60.24</v>
      </c>
      <c r="F232" s="7">
        <v>50.25</v>
      </c>
      <c r="G232" s="7">
        <v>40.700000000000003</v>
      </c>
      <c r="H232" s="7">
        <v>29</v>
      </c>
      <c r="I232" s="7">
        <v>21.7</v>
      </c>
      <c r="J232" s="7">
        <v>14.5</v>
      </c>
      <c r="K232" s="7">
        <v>10.220000000000001</v>
      </c>
      <c r="L232" s="7">
        <v>27.59</v>
      </c>
      <c r="M232" s="7">
        <v>27.11</v>
      </c>
      <c r="N232" s="7">
        <v>27.15</v>
      </c>
      <c r="O232" s="7">
        <v>26.37</v>
      </c>
      <c r="P232" s="7">
        <v>26.25</v>
      </c>
      <c r="Q232" s="7">
        <v>26.54</v>
      </c>
      <c r="R232" s="7">
        <v>25.96</v>
      </c>
      <c r="S232" s="7">
        <v>25.02</v>
      </c>
      <c r="T232" s="7">
        <v>23.57</v>
      </c>
      <c r="U232" s="7">
        <v>23.13</v>
      </c>
      <c r="W232" s="33" t="s">
        <v>41</v>
      </c>
      <c r="X232" s="33"/>
    </row>
    <row r="233" spans="1:24" x14ac:dyDescent="0.2">
      <c r="A233" s="2" t="s">
        <v>42</v>
      </c>
      <c r="B233" s="2">
        <v>102.47</v>
      </c>
      <c r="C233" s="2">
        <v>91.24</v>
      </c>
      <c r="D233" s="2">
        <v>72.8</v>
      </c>
      <c r="E233" s="2">
        <v>58.99</v>
      </c>
      <c r="F233" s="2">
        <v>48.8</v>
      </c>
      <c r="G233" s="2">
        <v>40.39</v>
      </c>
      <c r="H233" s="2">
        <v>29</v>
      </c>
      <c r="I233" s="2">
        <v>21.7</v>
      </c>
      <c r="J233" s="2">
        <v>14.5</v>
      </c>
      <c r="K233" s="2">
        <v>10.220000000000001</v>
      </c>
      <c r="L233" s="2">
        <v>27.08</v>
      </c>
      <c r="M233" s="2">
        <v>26.55</v>
      </c>
      <c r="N233" s="2">
        <v>26.54</v>
      </c>
      <c r="O233" s="2">
        <v>25.81</v>
      </c>
      <c r="P233" s="2">
        <v>25.72</v>
      </c>
      <c r="Q233" s="2">
        <v>25.5</v>
      </c>
      <c r="R233" s="2">
        <v>25.44</v>
      </c>
      <c r="S233" s="2">
        <v>24.54</v>
      </c>
      <c r="T233" s="2">
        <v>23.13</v>
      </c>
      <c r="U233" s="2">
        <v>22.25</v>
      </c>
      <c r="W233" s="34" t="s">
        <v>1</v>
      </c>
      <c r="X233" s="34" t="s">
        <v>7</v>
      </c>
    </row>
    <row r="234" spans="1:24" x14ac:dyDescent="0.2">
      <c r="A234" s="6" t="s">
        <v>286</v>
      </c>
      <c r="B234" s="6">
        <v>2.14</v>
      </c>
      <c r="C234" s="6">
        <v>1.8</v>
      </c>
      <c r="D234" s="6">
        <v>1.5</v>
      </c>
      <c r="E234" s="6">
        <v>1.25</v>
      </c>
      <c r="F234" s="6">
        <v>1.44</v>
      </c>
      <c r="G234" s="6">
        <v>0.31</v>
      </c>
      <c r="H234" s="16" t="s">
        <v>59</v>
      </c>
      <c r="I234" s="16" t="s">
        <v>59</v>
      </c>
      <c r="J234" s="16" t="s">
        <v>59</v>
      </c>
      <c r="K234" s="16" t="s">
        <v>59</v>
      </c>
      <c r="L234" s="6">
        <v>0.51</v>
      </c>
      <c r="M234" s="6">
        <v>0.56000000000000005</v>
      </c>
      <c r="N234" s="6">
        <v>0.61</v>
      </c>
      <c r="O234" s="6">
        <v>0.56000000000000005</v>
      </c>
      <c r="P234" s="6">
        <v>0.53</v>
      </c>
      <c r="Q234" s="6">
        <v>1.05</v>
      </c>
      <c r="R234" s="6">
        <v>0.52</v>
      </c>
      <c r="S234" s="6">
        <v>0.48</v>
      </c>
      <c r="T234" s="6">
        <v>0.44</v>
      </c>
      <c r="U234" s="6">
        <v>0.88</v>
      </c>
      <c r="W234" s="35" t="s">
        <v>44</v>
      </c>
      <c r="X234" s="35">
        <v>2.2999999999999998</v>
      </c>
    </row>
    <row r="235" spans="1:24" x14ac:dyDescent="0.2">
      <c r="A235" s="11" t="s">
        <v>43</v>
      </c>
      <c r="B235" s="11">
        <v>197.86</v>
      </c>
      <c r="C235" s="11">
        <v>155.9</v>
      </c>
      <c r="D235" s="11">
        <v>109.09</v>
      </c>
      <c r="E235" s="11">
        <v>83.82</v>
      </c>
      <c r="F235" s="11">
        <v>37.659999999999997</v>
      </c>
      <c r="G235" s="11">
        <v>107.21</v>
      </c>
      <c r="H235" s="11">
        <v>97.63</v>
      </c>
      <c r="I235" s="11">
        <v>83.03</v>
      </c>
      <c r="J235" s="11">
        <v>67.92</v>
      </c>
      <c r="K235" s="11">
        <v>50.03</v>
      </c>
      <c r="L235" s="11">
        <v>67.55</v>
      </c>
      <c r="M235" s="11">
        <v>68.319999999999993</v>
      </c>
      <c r="N235" s="11">
        <v>48.15</v>
      </c>
      <c r="O235" s="11">
        <v>57.58</v>
      </c>
      <c r="P235" s="11">
        <v>49.92</v>
      </c>
      <c r="Q235" s="11">
        <v>51.11</v>
      </c>
      <c r="R235" s="11">
        <v>38.74</v>
      </c>
      <c r="S235" s="11">
        <v>40.08</v>
      </c>
      <c r="T235" s="11">
        <v>41.62</v>
      </c>
      <c r="U235" s="11">
        <v>41.81</v>
      </c>
      <c r="W235" s="46" t="s">
        <v>51</v>
      </c>
      <c r="X235" s="46">
        <v>663</v>
      </c>
    </row>
    <row r="236" spans="1:24" x14ac:dyDescent="0.2">
      <c r="A236" s="6" t="s">
        <v>35</v>
      </c>
      <c r="B236" s="6">
        <v>26.91</v>
      </c>
      <c r="C236" s="6">
        <v>42.91</v>
      </c>
      <c r="D236" s="6">
        <v>30.15</v>
      </c>
      <c r="E236" s="6">
        <v>122.57</v>
      </c>
      <c r="F236" s="13">
        <v>-64.87</v>
      </c>
      <c r="G236" s="6">
        <v>9.81</v>
      </c>
      <c r="H236" s="6">
        <v>17.579999999999998</v>
      </c>
      <c r="I236" s="6">
        <v>22.25</v>
      </c>
      <c r="J236" s="6">
        <v>35.76</v>
      </c>
      <c r="K236" s="6">
        <v>81.64</v>
      </c>
      <c r="L236" s="6">
        <v>35.32</v>
      </c>
      <c r="M236" s="6">
        <v>33.68</v>
      </c>
      <c r="N236" s="6">
        <v>24.3</v>
      </c>
      <c r="O236" s="6">
        <v>43.66</v>
      </c>
      <c r="P236" s="6">
        <v>19.96</v>
      </c>
      <c r="Q236" s="6">
        <v>22.25</v>
      </c>
      <c r="R236" s="6">
        <v>21.2</v>
      </c>
      <c r="S236" s="6">
        <v>22.67</v>
      </c>
      <c r="T236" s="6">
        <v>66.099999999999994</v>
      </c>
      <c r="U236" s="6">
        <v>33.75</v>
      </c>
      <c r="W236" s="35" t="s">
        <v>287</v>
      </c>
      <c r="X236" s="35">
        <v>51</v>
      </c>
    </row>
    <row r="237" spans="1:24" x14ac:dyDescent="0.2">
      <c r="A237" s="2" t="s">
        <v>48</v>
      </c>
      <c r="B237" s="2">
        <v>15.8</v>
      </c>
      <c r="C237" s="2">
        <v>14.34</v>
      </c>
      <c r="D237" s="2">
        <v>12.11</v>
      </c>
      <c r="E237" s="2">
        <v>11.33</v>
      </c>
      <c r="F237" s="2">
        <v>7.2</v>
      </c>
      <c r="G237" s="2">
        <v>18.03</v>
      </c>
      <c r="H237" s="2">
        <v>21.26</v>
      </c>
      <c r="I237" s="2">
        <v>23.14</v>
      </c>
      <c r="J237" s="2">
        <v>25.3</v>
      </c>
      <c r="K237" s="2">
        <v>26.25</v>
      </c>
      <c r="L237" s="2">
        <v>18.39</v>
      </c>
      <c r="M237" s="2">
        <v>19.170000000000002</v>
      </c>
      <c r="N237" s="2">
        <v>15.01</v>
      </c>
      <c r="O237" s="2">
        <v>17.52</v>
      </c>
      <c r="P237" s="2">
        <v>15.75</v>
      </c>
      <c r="Q237" s="2">
        <v>16.149999999999999</v>
      </c>
      <c r="R237" s="2">
        <v>13.34</v>
      </c>
      <c r="S237" s="2">
        <v>14</v>
      </c>
      <c r="T237" s="2">
        <v>15.07</v>
      </c>
      <c r="U237" s="2">
        <v>15.38</v>
      </c>
      <c r="W237" s="33" t="s">
        <v>288</v>
      </c>
      <c r="X237" s="33">
        <v>240</v>
      </c>
    </row>
    <row r="238" spans="1:24" x14ac:dyDescent="0.2">
      <c r="A238" s="7" t="s">
        <v>74</v>
      </c>
      <c r="B238" s="7">
        <v>146.91</v>
      </c>
      <c r="C238" s="7">
        <v>127.74</v>
      </c>
      <c r="D238" s="7">
        <v>118.51</v>
      </c>
      <c r="E238" s="7">
        <v>84.75</v>
      </c>
      <c r="F238" s="7">
        <v>62.81</v>
      </c>
      <c r="G238" s="7">
        <v>65.34</v>
      </c>
      <c r="H238" s="7">
        <v>52.72</v>
      </c>
      <c r="I238" s="7">
        <v>39</v>
      </c>
      <c r="J238" s="7">
        <v>40.08</v>
      </c>
      <c r="K238" s="7">
        <v>43.26</v>
      </c>
      <c r="L238" s="7">
        <v>43.87</v>
      </c>
      <c r="M238" s="7">
        <v>40.11</v>
      </c>
      <c r="N238" s="7">
        <v>40.03</v>
      </c>
      <c r="O238" s="7">
        <v>40.54</v>
      </c>
      <c r="P238" s="7">
        <v>35.159999999999997</v>
      </c>
      <c r="Q238" s="7">
        <v>35.270000000000003</v>
      </c>
      <c r="R238" s="7">
        <v>35.43</v>
      </c>
      <c r="S238" s="7">
        <v>35.340000000000003</v>
      </c>
      <c r="T238" s="7">
        <v>30.5</v>
      </c>
      <c r="U238" s="7">
        <v>30.6</v>
      </c>
      <c r="W238" s="42" t="s">
        <v>55</v>
      </c>
      <c r="X238" s="48" t="s">
        <v>59</v>
      </c>
    </row>
    <row r="239" spans="1:24" x14ac:dyDescent="0.2">
      <c r="A239" s="2" t="s">
        <v>289</v>
      </c>
      <c r="B239" s="2">
        <v>146.91</v>
      </c>
      <c r="C239" s="2">
        <v>127.74</v>
      </c>
      <c r="D239" s="2">
        <v>118.51</v>
      </c>
      <c r="E239" s="2">
        <v>84.75</v>
      </c>
      <c r="F239" s="2">
        <v>62.81</v>
      </c>
      <c r="G239" s="2">
        <v>65.34</v>
      </c>
      <c r="H239" s="2">
        <v>52.72</v>
      </c>
      <c r="I239" s="2">
        <v>39</v>
      </c>
      <c r="J239" s="2">
        <v>40.08</v>
      </c>
      <c r="K239" s="2">
        <v>43.26</v>
      </c>
      <c r="L239" s="2">
        <v>43.87</v>
      </c>
      <c r="M239" s="2">
        <v>40.11</v>
      </c>
      <c r="N239" s="2">
        <v>40.03</v>
      </c>
      <c r="O239" s="2">
        <v>40.54</v>
      </c>
      <c r="P239" s="2">
        <v>35.159999999999997</v>
      </c>
      <c r="Q239" s="2">
        <v>35.270000000000003</v>
      </c>
      <c r="R239" s="2">
        <v>35.43</v>
      </c>
      <c r="S239" s="2">
        <v>35.340000000000003</v>
      </c>
      <c r="T239" s="2">
        <v>30.5</v>
      </c>
      <c r="U239" s="2">
        <v>30.6</v>
      </c>
      <c r="W239" s="33" t="s">
        <v>287</v>
      </c>
      <c r="X239" s="38" t="s">
        <v>59</v>
      </c>
    </row>
    <row r="240" spans="1:24" x14ac:dyDescent="0.2">
      <c r="A240" s="7" t="s">
        <v>45</v>
      </c>
      <c r="B240" s="7">
        <v>50.95</v>
      </c>
      <c r="C240" s="7">
        <v>28.16</v>
      </c>
      <c r="D240" s="7">
        <v>-9.42</v>
      </c>
      <c r="E240" s="7">
        <v>-0.93</v>
      </c>
      <c r="F240" s="7">
        <v>-25.15</v>
      </c>
      <c r="G240" s="7">
        <v>41.87</v>
      </c>
      <c r="H240" s="7">
        <v>44.91</v>
      </c>
      <c r="I240" s="7">
        <v>44.02</v>
      </c>
      <c r="J240" s="7">
        <v>27.84</v>
      </c>
      <c r="K240" s="7">
        <v>6.77</v>
      </c>
      <c r="L240" s="7">
        <v>23.68</v>
      </c>
      <c r="M240" s="7">
        <v>28.21</v>
      </c>
      <c r="N240" s="7">
        <v>8.1199999999999992</v>
      </c>
      <c r="O240" s="7">
        <v>17.04</v>
      </c>
      <c r="P240" s="7">
        <v>14.76</v>
      </c>
      <c r="Q240" s="7">
        <v>15.84</v>
      </c>
      <c r="R240" s="7">
        <v>3.31</v>
      </c>
      <c r="S240" s="7">
        <v>4.74</v>
      </c>
      <c r="T240" s="7">
        <v>11.12</v>
      </c>
      <c r="U240" s="7">
        <v>11.21</v>
      </c>
      <c r="W240" s="35" t="s">
        <v>288</v>
      </c>
      <c r="X240" s="39" t="s">
        <v>59</v>
      </c>
    </row>
    <row r="241" spans="1:36" x14ac:dyDescent="0.2">
      <c r="A241" s="2" t="s">
        <v>35</v>
      </c>
      <c r="B241" s="2">
        <v>80.95</v>
      </c>
      <c r="C241" s="15" t="s">
        <v>59</v>
      </c>
      <c r="D241" s="9">
        <v>-912.8</v>
      </c>
      <c r="E241" s="2">
        <v>96.3</v>
      </c>
      <c r="F241" s="9">
        <v>-160.05000000000001</v>
      </c>
      <c r="G241" s="9">
        <v>-6.76</v>
      </c>
      <c r="H241" s="2">
        <v>2.0099999999999998</v>
      </c>
      <c r="I241" s="2">
        <v>58.14</v>
      </c>
      <c r="J241" s="2">
        <v>311.20999999999998</v>
      </c>
      <c r="K241" s="2">
        <v>108.44</v>
      </c>
      <c r="L241" s="2">
        <v>60.45</v>
      </c>
      <c r="M241" s="2">
        <v>78.08</v>
      </c>
      <c r="N241" s="2">
        <v>145</v>
      </c>
      <c r="O241" s="2">
        <v>259.32</v>
      </c>
      <c r="P241" s="2">
        <v>32.76</v>
      </c>
      <c r="Q241" s="2">
        <v>41.32</v>
      </c>
      <c r="R241" s="2">
        <v>203.94</v>
      </c>
      <c r="S241" s="2">
        <v>434.01</v>
      </c>
      <c r="T241" s="15" t="s">
        <v>59</v>
      </c>
      <c r="U241" s="2">
        <v>342.69</v>
      </c>
      <c r="W241" s="46" t="s">
        <v>66</v>
      </c>
      <c r="X241" s="46">
        <v>22.9</v>
      </c>
    </row>
    <row r="242" spans="1:36" x14ac:dyDescent="0.2">
      <c r="A242" s="6" t="s">
        <v>48</v>
      </c>
      <c r="B242" s="6">
        <v>4.07</v>
      </c>
      <c r="C242" s="6">
        <v>2.59</v>
      </c>
      <c r="D242" s="13">
        <v>-1.05</v>
      </c>
      <c r="E242" s="13">
        <v>-0.13</v>
      </c>
      <c r="F242" s="13">
        <v>-4.8099999999999996</v>
      </c>
      <c r="G242" s="6">
        <v>7.04</v>
      </c>
      <c r="H242" s="6">
        <v>9.7799999999999994</v>
      </c>
      <c r="I242" s="6">
        <v>12.27</v>
      </c>
      <c r="J242" s="6">
        <v>10.37</v>
      </c>
      <c r="K242" s="6">
        <v>3.55</v>
      </c>
      <c r="L242" s="6">
        <v>6.45</v>
      </c>
      <c r="M242" s="6">
        <v>7.91</v>
      </c>
      <c r="N242" s="6">
        <v>2.5299999999999998</v>
      </c>
      <c r="O242" s="6">
        <v>5.18</v>
      </c>
      <c r="P242" s="6">
        <v>4.66</v>
      </c>
      <c r="Q242" s="6">
        <v>5.01</v>
      </c>
      <c r="R242" s="6">
        <v>1.1399999999999999</v>
      </c>
      <c r="S242" s="6">
        <v>1.66</v>
      </c>
      <c r="T242" s="6">
        <v>4.03</v>
      </c>
      <c r="U242" s="6">
        <v>4.12</v>
      </c>
      <c r="W242" s="35" t="s">
        <v>57</v>
      </c>
      <c r="X242" s="35">
        <v>22.5</v>
      </c>
    </row>
    <row r="243" spans="1:36" x14ac:dyDescent="0.2">
      <c r="A243" s="11" t="s">
        <v>50</v>
      </c>
      <c r="B243" s="11">
        <v>-34.659999999999997</v>
      </c>
      <c r="C243" s="11">
        <v>-9.4600000000000009</v>
      </c>
      <c r="D243" s="11">
        <v>-13.09</v>
      </c>
      <c r="E243" s="11">
        <v>-14.55</v>
      </c>
      <c r="F243" s="11">
        <v>-11.81</v>
      </c>
      <c r="G243" s="11">
        <v>-14.12</v>
      </c>
      <c r="H243" s="11">
        <v>-11.62</v>
      </c>
      <c r="I243" s="11">
        <v>117.91</v>
      </c>
      <c r="J243" s="11">
        <v>1.03</v>
      </c>
      <c r="K243" s="11">
        <v>-0.01</v>
      </c>
      <c r="L243" s="11">
        <v>-2.08</v>
      </c>
      <c r="M243" s="11">
        <v>-2.66</v>
      </c>
      <c r="N243" s="11">
        <v>-2.2999999999999998</v>
      </c>
      <c r="O243" s="11">
        <v>-3.59</v>
      </c>
      <c r="P243" s="11">
        <v>-29.24</v>
      </c>
      <c r="Q243" s="11">
        <v>-1.76</v>
      </c>
      <c r="R243" s="11">
        <v>-7.0000000000000007E-2</v>
      </c>
      <c r="S243" s="11">
        <v>-2.77</v>
      </c>
      <c r="T243" s="11">
        <v>-2.02</v>
      </c>
      <c r="U243" s="11">
        <v>-3.23</v>
      </c>
      <c r="W243" s="33"/>
      <c r="X243" s="33"/>
    </row>
    <row r="244" spans="1:36" x14ac:dyDescent="0.2">
      <c r="A244" s="6" t="s">
        <v>52</v>
      </c>
      <c r="B244" s="6">
        <v>7.93</v>
      </c>
      <c r="C244" s="6">
        <v>10.82</v>
      </c>
      <c r="D244" s="6">
        <v>8.9700000000000006</v>
      </c>
      <c r="E244" s="6">
        <v>0.01</v>
      </c>
      <c r="F244" s="6">
        <v>0</v>
      </c>
      <c r="G244" s="6">
        <v>0</v>
      </c>
      <c r="H244" s="6">
        <v>0.01</v>
      </c>
      <c r="I244" s="6">
        <v>0.08</v>
      </c>
      <c r="J244" s="6">
        <v>0.09</v>
      </c>
      <c r="K244" s="6">
        <v>0.01</v>
      </c>
      <c r="L244" s="6">
        <v>0.03</v>
      </c>
      <c r="M244" s="6">
        <v>0.05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1.04</v>
      </c>
      <c r="T244" s="6">
        <v>1.23</v>
      </c>
      <c r="U244" s="6">
        <v>0.13</v>
      </c>
      <c r="W244" s="33" t="s">
        <v>69</v>
      </c>
      <c r="X244" s="33"/>
    </row>
    <row r="245" spans="1:36" x14ac:dyDescent="0.2">
      <c r="A245" s="2" t="s">
        <v>54</v>
      </c>
      <c r="B245" s="9">
        <v>-42.6</v>
      </c>
      <c r="C245" s="9">
        <v>-20.28</v>
      </c>
      <c r="D245" s="9">
        <v>-22.06</v>
      </c>
      <c r="E245" s="9">
        <v>-14.56</v>
      </c>
      <c r="F245" s="9">
        <v>-11.81</v>
      </c>
      <c r="G245" s="9">
        <v>-14.12</v>
      </c>
      <c r="H245" s="9">
        <v>-11.63</v>
      </c>
      <c r="I245" s="2">
        <v>117.84</v>
      </c>
      <c r="J245" s="2">
        <v>0.94</v>
      </c>
      <c r="K245" s="9">
        <v>-0.02</v>
      </c>
      <c r="L245" s="9">
        <v>-2.11</v>
      </c>
      <c r="M245" s="9">
        <v>-2.71</v>
      </c>
      <c r="N245" s="9">
        <v>-2.2999999999999998</v>
      </c>
      <c r="O245" s="9">
        <v>-3.59</v>
      </c>
      <c r="P245" s="9">
        <v>-29.24</v>
      </c>
      <c r="Q245" s="9">
        <v>-1.76</v>
      </c>
      <c r="R245" s="9">
        <v>-7.0000000000000007E-2</v>
      </c>
      <c r="S245" s="9">
        <v>-3.81</v>
      </c>
      <c r="T245" s="9">
        <v>-3.25</v>
      </c>
      <c r="U245" s="9">
        <v>-3.36</v>
      </c>
      <c r="W245" s="34" t="s">
        <v>1</v>
      </c>
      <c r="X245" s="34" t="s">
        <v>7</v>
      </c>
    </row>
    <row r="246" spans="1:36" x14ac:dyDescent="0.2">
      <c r="A246" s="7" t="s">
        <v>92</v>
      </c>
      <c r="B246" s="7">
        <v>2.0499999999999998</v>
      </c>
      <c r="C246" s="7">
        <v>1.72</v>
      </c>
      <c r="D246" s="7">
        <v>1.52</v>
      </c>
      <c r="E246" s="7">
        <v>1.58</v>
      </c>
      <c r="F246" s="7">
        <v>0.82</v>
      </c>
      <c r="G246" s="7">
        <v>0.43</v>
      </c>
      <c r="H246" s="7">
        <v>2.42</v>
      </c>
      <c r="I246" s="7">
        <v>1.64</v>
      </c>
      <c r="J246" s="7">
        <v>0.37</v>
      </c>
      <c r="K246" s="7">
        <v>0.33</v>
      </c>
      <c r="L246" s="7">
        <v>0.5</v>
      </c>
      <c r="M246" s="7">
        <v>0.55000000000000004</v>
      </c>
      <c r="N246" s="7">
        <v>0.56000000000000005</v>
      </c>
      <c r="O246" s="7">
        <v>0.51</v>
      </c>
      <c r="P246" s="7">
        <v>0.5</v>
      </c>
      <c r="Q246" s="7">
        <v>0.53</v>
      </c>
      <c r="R246" s="7">
        <v>0.51</v>
      </c>
      <c r="S246" s="7">
        <v>0.48</v>
      </c>
      <c r="T246" s="7">
        <v>0.43</v>
      </c>
      <c r="U246" s="7">
        <v>0.41</v>
      </c>
      <c r="W246" s="42" t="s">
        <v>34</v>
      </c>
      <c r="X246" s="43">
        <v>1455</v>
      </c>
      <c r="Y246" s="33"/>
      <c r="Z246" s="33"/>
      <c r="AA246" s="33"/>
      <c r="AB246" s="33"/>
      <c r="AF246" s="33"/>
      <c r="AG246" s="33"/>
      <c r="AH246" s="33"/>
      <c r="AI246" s="33"/>
      <c r="AJ246" s="33"/>
    </row>
    <row r="247" spans="1:36" x14ac:dyDescent="0.2">
      <c r="A247" s="2" t="s">
        <v>290</v>
      </c>
      <c r="B247" s="2">
        <v>2.0499999999999998</v>
      </c>
      <c r="C247" s="2">
        <v>1.72</v>
      </c>
      <c r="D247" s="2">
        <v>1.52</v>
      </c>
      <c r="E247" s="2">
        <v>1.58</v>
      </c>
      <c r="F247" s="2">
        <v>0.82</v>
      </c>
      <c r="G247" s="2">
        <v>0.43</v>
      </c>
      <c r="H247" s="2">
        <v>2.57</v>
      </c>
      <c r="I247" s="2">
        <v>1.81</v>
      </c>
      <c r="J247" s="2">
        <v>0.37</v>
      </c>
      <c r="K247" s="2">
        <v>0.44</v>
      </c>
      <c r="L247" s="2">
        <v>0.5</v>
      </c>
      <c r="M247" s="2">
        <v>0.55000000000000004</v>
      </c>
      <c r="N247" s="2">
        <v>0.56000000000000005</v>
      </c>
      <c r="O247" s="2">
        <v>0.51</v>
      </c>
      <c r="P247" s="2">
        <v>0.5</v>
      </c>
      <c r="Q247" s="2">
        <v>0.53</v>
      </c>
      <c r="R247" s="2">
        <v>0.51</v>
      </c>
      <c r="S247" s="2">
        <v>0.48</v>
      </c>
      <c r="T247" s="2">
        <v>0.43</v>
      </c>
      <c r="U247" s="2">
        <v>0.41</v>
      </c>
      <c r="W247" s="33" t="s">
        <v>57</v>
      </c>
      <c r="X247" s="44">
        <v>1400</v>
      </c>
      <c r="Y247" s="33"/>
      <c r="Z247" s="33"/>
      <c r="AA247" s="33"/>
      <c r="AB247" s="33"/>
      <c r="AF247" s="33"/>
      <c r="AG247" s="33"/>
      <c r="AH247" s="33"/>
      <c r="AI247" s="33"/>
      <c r="AJ247" s="33"/>
    </row>
    <row r="248" spans="1:36" x14ac:dyDescent="0.2">
      <c r="A248" s="6" t="s">
        <v>291</v>
      </c>
      <c r="B248" s="6">
        <v>0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0.16</v>
      </c>
      <c r="I248" s="6">
        <v>0.16</v>
      </c>
      <c r="J248" s="6">
        <v>0</v>
      </c>
      <c r="K248" s="6">
        <v>0.11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W248" s="35" t="s">
        <v>60</v>
      </c>
      <c r="X248" s="45">
        <v>1500</v>
      </c>
    </row>
    <row r="249" spans="1:36" x14ac:dyDescent="0.2">
      <c r="A249" s="11" t="s">
        <v>56</v>
      </c>
      <c r="B249" s="11">
        <v>0</v>
      </c>
      <c r="C249" s="11">
        <v>0</v>
      </c>
      <c r="D249" s="11">
        <v>0.26</v>
      </c>
      <c r="E249" s="11">
        <v>0.28000000000000003</v>
      </c>
      <c r="F249" s="11">
        <v>7.7</v>
      </c>
      <c r="G249" s="11">
        <v>-0.19</v>
      </c>
      <c r="H249" s="11">
        <v>0.06</v>
      </c>
      <c r="I249" s="17" t="s">
        <v>59</v>
      </c>
      <c r="J249" s="17" t="s">
        <v>59</v>
      </c>
      <c r="K249" s="17" t="s">
        <v>59</v>
      </c>
      <c r="L249" s="11">
        <v>-0.04</v>
      </c>
      <c r="M249" s="11">
        <v>0.33</v>
      </c>
      <c r="N249" s="11">
        <v>0</v>
      </c>
      <c r="O249" s="11">
        <v>0</v>
      </c>
      <c r="P249" s="11">
        <v>0</v>
      </c>
      <c r="Q249" s="11">
        <v>0</v>
      </c>
      <c r="R249" s="11">
        <v>0</v>
      </c>
      <c r="S249" s="11">
        <v>0</v>
      </c>
      <c r="T249" s="11">
        <v>0</v>
      </c>
      <c r="U249" s="11">
        <v>0</v>
      </c>
      <c r="W249" s="33" t="s">
        <v>72</v>
      </c>
      <c r="X249" s="33">
        <v>399</v>
      </c>
    </row>
    <row r="250" spans="1:36" x14ac:dyDescent="0.2">
      <c r="A250" s="7" t="s">
        <v>58</v>
      </c>
      <c r="B250" s="7">
        <v>0</v>
      </c>
      <c r="C250" s="7">
        <v>0</v>
      </c>
      <c r="D250" s="7">
        <v>0.1</v>
      </c>
      <c r="E250" s="7">
        <v>0</v>
      </c>
      <c r="F250" s="7">
        <v>7.64</v>
      </c>
      <c r="G250" s="14" t="s">
        <v>59</v>
      </c>
      <c r="H250" s="14" t="s">
        <v>59</v>
      </c>
      <c r="I250" s="14" t="s">
        <v>59</v>
      </c>
      <c r="J250" s="14" t="s">
        <v>59</v>
      </c>
      <c r="K250" s="14" t="s">
        <v>59</v>
      </c>
      <c r="L250" s="7">
        <v>0.01</v>
      </c>
      <c r="M250" s="7">
        <v>0</v>
      </c>
      <c r="N250" s="14" t="s">
        <v>59</v>
      </c>
      <c r="O250" s="14" t="s">
        <v>59</v>
      </c>
      <c r="P250" s="14" t="s">
        <v>59</v>
      </c>
      <c r="Q250" s="14" t="s">
        <v>59</v>
      </c>
      <c r="R250" s="14" t="s">
        <v>59</v>
      </c>
      <c r="S250" s="14" t="s">
        <v>59</v>
      </c>
      <c r="T250" s="14" t="s">
        <v>59</v>
      </c>
      <c r="U250" s="14" t="s">
        <v>59</v>
      </c>
      <c r="W250" s="35" t="s">
        <v>43</v>
      </c>
      <c r="X250" s="35">
        <v>689</v>
      </c>
    </row>
    <row r="251" spans="1:36" x14ac:dyDescent="0.2">
      <c r="A251" s="2" t="s">
        <v>61</v>
      </c>
      <c r="B251" s="2">
        <v>0</v>
      </c>
      <c r="C251" s="2">
        <v>0</v>
      </c>
      <c r="D251" s="2">
        <v>0.1</v>
      </c>
      <c r="E251" s="2">
        <v>0</v>
      </c>
      <c r="F251" s="2">
        <v>7.64</v>
      </c>
      <c r="G251" s="15" t="s">
        <v>59</v>
      </c>
      <c r="H251" s="15" t="s">
        <v>59</v>
      </c>
      <c r="I251" s="15" t="s">
        <v>59</v>
      </c>
      <c r="J251" s="15" t="s">
        <v>59</v>
      </c>
      <c r="K251" s="15" t="s">
        <v>59</v>
      </c>
      <c r="L251" s="2">
        <v>0.01</v>
      </c>
      <c r="M251" s="2">
        <v>0</v>
      </c>
      <c r="N251" s="15" t="s">
        <v>59</v>
      </c>
      <c r="O251" s="15" t="s">
        <v>59</v>
      </c>
      <c r="P251" s="15" t="s">
        <v>59</v>
      </c>
      <c r="Q251" s="15" t="s">
        <v>59</v>
      </c>
      <c r="R251" s="15" t="s">
        <v>59</v>
      </c>
      <c r="S251" s="15" t="s">
        <v>59</v>
      </c>
      <c r="T251" s="15" t="s">
        <v>59</v>
      </c>
      <c r="U251" s="15" t="s">
        <v>59</v>
      </c>
      <c r="W251" s="46" t="s">
        <v>74</v>
      </c>
      <c r="X251" s="46">
        <v>179</v>
      </c>
    </row>
    <row r="252" spans="1:36" x14ac:dyDescent="0.2">
      <c r="A252" s="6" t="s">
        <v>65</v>
      </c>
      <c r="B252" s="6">
        <v>0</v>
      </c>
      <c r="C252" s="6">
        <v>0</v>
      </c>
      <c r="D252" s="6">
        <v>0</v>
      </c>
      <c r="E252" s="6">
        <v>0</v>
      </c>
      <c r="F252" s="6">
        <v>0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13">
        <v>-0.05</v>
      </c>
      <c r="M252" s="6">
        <v>0.3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W252" s="42" t="s">
        <v>78</v>
      </c>
      <c r="X252" s="42">
        <v>178</v>
      </c>
    </row>
    <row r="253" spans="1:36" x14ac:dyDescent="0.2">
      <c r="A253" s="11" t="s">
        <v>68</v>
      </c>
      <c r="B253" s="11">
        <v>0</v>
      </c>
      <c r="C253" s="11">
        <v>0</v>
      </c>
      <c r="D253" s="11">
        <v>-0.16</v>
      </c>
      <c r="E253" s="11">
        <v>-0.28000000000000003</v>
      </c>
      <c r="F253" s="11">
        <v>-0.06</v>
      </c>
      <c r="G253" s="11">
        <v>0.19</v>
      </c>
      <c r="H253" s="11">
        <v>-0.06</v>
      </c>
      <c r="I253" s="17" t="s">
        <v>59</v>
      </c>
      <c r="J253" s="17" t="s">
        <v>59</v>
      </c>
      <c r="K253" s="17" t="s">
        <v>59</v>
      </c>
      <c r="L253" s="17" t="s">
        <v>59</v>
      </c>
      <c r="M253" s="17" t="s">
        <v>59</v>
      </c>
      <c r="N253" s="17" t="s">
        <v>59</v>
      </c>
      <c r="O253" s="17" t="s">
        <v>59</v>
      </c>
      <c r="P253" s="17" t="s">
        <v>59</v>
      </c>
      <c r="Q253" s="11">
        <v>0</v>
      </c>
      <c r="R253" s="11">
        <v>0</v>
      </c>
      <c r="S253" s="17" t="s">
        <v>59</v>
      </c>
      <c r="T253" s="11">
        <v>0</v>
      </c>
      <c r="U253" s="11">
        <v>0</v>
      </c>
      <c r="W253" s="33" t="s">
        <v>57</v>
      </c>
      <c r="X253" s="33">
        <v>161</v>
      </c>
    </row>
    <row r="254" spans="1:36" x14ac:dyDescent="0.2">
      <c r="A254" s="6" t="s">
        <v>70</v>
      </c>
      <c r="B254" s="6">
        <v>0</v>
      </c>
      <c r="C254" s="6">
        <v>0</v>
      </c>
      <c r="D254" s="13">
        <v>-0.16</v>
      </c>
      <c r="E254" s="13">
        <v>-0.28000000000000003</v>
      </c>
      <c r="F254" s="13">
        <v>-0.06</v>
      </c>
      <c r="G254" s="6">
        <v>0.19</v>
      </c>
      <c r="H254" s="13">
        <v>-0.06</v>
      </c>
      <c r="I254" s="16" t="s">
        <v>59</v>
      </c>
      <c r="J254" s="16" t="s">
        <v>59</v>
      </c>
      <c r="K254" s="16" t="s">
        <v>59</v>
      </c>
      <c r="L254" s="16" t="s">
        <v>59</v>
      </c>
      <c r="M254" s="16" t="s">
        <v>59</v>
      </c>
      <c r="N254" s="16" t="s">
        <v>59</v>
      </c>
      <c r="O254" s="16" t="s">
        <v>59</v>
      </c>
      <c r="P254" s="16" t="s">
        <v>59</v>
      </c>
      <c r="Q254" s="6">
        <v>0</v>
      </c>
      <c r="R254" s="6">
        <v>0</v>
      </c>
      <c r="S254" s="16" t="s">
        <v>59</v>
      </c>
      <c r="T254" s="6">
        <v>0</v>
      </c>
      <c r="U254" s="6">
        <v>0</v>
      </c>
      <c r="W254" s="35" t="s">
        <v>60</v>
      </c>
      <c r="X254" s="35">
        <v>180</v>
      </c>
    </row>
    <row r="255" spans="1:36" x14ac:dyDescent="0.2">
      <c r="A255" s="11" t="s">
        <v>292</v>
      </c>
      <c r="B255" s="17" t="s">
        <v>59</v>
      </c>
      <c r="C255" s="17" t="s">
        <v>59</v>
      </c>
      <c r="D255" s="17" t="s">
        <v>59</v>
      </c>
      <c r="E255" s="17" t="s">
        <v>59</v>
      </c>
      <c r="F255" s="17" t="s">
        <v>59</v>
      </c>
      <c r="G255" s="17" t="s">
        <v>59</v>
      </c>
      <c r="H255" s="17" t="s">
        <v>59</v>
      </c>
      <c r="I255" s="17" t="s">
        <v>59</v>
      </c>
      <c r="J255" s="17" t="s">
        <v>59</v>
      </c>
      <c r="K255" s="17" t="s">
        <v>59</v>
      </c>
      <c r="L255" s="11">
        <v>0</v>
      </c>
      <c r="M255" s="11">
        <v>0.04</v>
      </c>
      <c r="N255" s="17" t="s">
        <v>59</v>
      </c>
      <c r="O255" s="17" t="s">
        <v>59</v>
      </c>
      <c r="P255" s="17" t="s">
        <v>59</v>
      </c>
      <c r="Q255" s="17" t="s">
        <v>59</v>
      </c>
      <c r="R255" s="17" t="s">
        <v>59</v>
      </c>
      <c r="S255" s="17" t="s">
        <v>59</v>
      </c>
      <c r="T255" s="17" t="s">
        <v>59</v>
      </c>
      <c r="U255" s="17" t="s">
        <v>59</v>
      </c>
      <c r="W255" s="33" t="s">
        <v>80</v>
      </c>
      <c r="X255" s="33">
        <v>365</v>
      </c>
    </row>
    <row r="256" spans="1:36" x14ac:dyDescent="0.2">
      <c r="A256" s="6" t="s">
        <v>293</v>
      </c>
      <c r="B256" s="16" t="s">
        <v>59</v>
      </c>
      <c r="C256" s="16" t="s">
        <v>59</v>
      </c>
      <c r="D256" s="16" t="s">
        <v>59</v>
      </c>
      <c r="E256" s="16" t="s">
        <v>59</v>
      </c>
      <c r="F256" s="16" t="s">
        <v>59</v>
      </c>
      <c r="G256" s="16" t="s">
        <v>59</v>
      </c>
      <c r="H256" s="16" t="s">
        <v>59</v>
      </c>
      <c r="I256" s="16" t="s">
        <v>59</v>
      </c>
      <c r="J256" s="16" t="s">
        <v>59</v>
      </c>
      <c r="K256" s="16" t="s">
        <v>59</v>
      </c>
      <c r="L256" s="6">
        <v>0</v>
      </c>
      <c r="M256" s="6">
        <v>0.04</v>
      </c>
      <c r="N256" s="16" t="s">
        <v>59</v>
      </c>
      <c r="O256" s="16" t="s">
        <v>59</v>
      </c>
      <c r="P256" s="16" t="s">
        <v>59</v>
      </c>
      <c r="Q256" s="16" t="s">
        <v>59</v>
      </c>
      <c r="R256" s="16" t="s">
        <v>59</v>
      </c>
      <c r="S256" s="16" t="s">
        <v>59</v>
      </c>
      <c r="T256" s="16" t="s">
        <v>59</v>
      </c>
      <c r="U256" s="16" t="s">
        <v>59</v>
      </c>
      <c r="W256" s="42" t="s">
        <v>82</v>
      </c>
      <c r="X256" s="42">
        <v>212</v>
      </c>
    </row>
    <row r="257" spans="1:24" x14ac:dyDescent="0.2">
      <c r="A257" s="11" t="s">
        <v>71</v>
      </c>
      <c r="B257" s="11">
        <v>14.24</v>
      </c>
      <c r="C257" s="11">
        <v>16.98</v>
      </c>
      <c r="D257" s="11">
        <v>-24.29</v>
      </c>
      <c r="E257" s="11">
        <v>-17.34</v>
      </c>
      <c r="F257" s="11">
        <v>-45.48</v>
      </c>
      <c r="G257" s="11">
        <v>27.51</v>
      </c>
      <c r="H257" s="11">
        <v>30.81</v>
      </c>
      <c r="I257" s="11">
        <v>160.29</v>
      </c>
      <c r="J257" s="11">
        <v>28.5</v>
      </c>
      <c r="K257" s="11">
        <v>6.43</v>
      </c>
      <c r="L257" s="11">
        <v>21.15</v>
      </c>
      <c r="M257" s="11">
        <v>24.68</v>
      </c>
      <c r="N257" s="11">
        <v>5.25</v>
      </c>
      <c r="O257" s="11">
        <v>12.94</v>
      </c>
      <c r="P257" s="11">
        <v>-14.98</v>
      </c>
      <c r="Q257" s="11">
        <v>13.56</v>
      </c>
      <c r="R257" s="11">
        <v>2.73</v>
      </c>
      <c r="S257" s="11">
        <v>1.5</v>
      </c>
      <c r="T257" s="11">
        <v>8.67</v>
      </c>
      <c r="U257" s="11">
        <v>7.57</v>
      </c>
      <c r="W257" s="33" t="s">
        <v>57</v>
      </c>
      <c r="X257" s="33">
        <v>210</v>
      </c>
    </row>
    <row r="258" spans="1:24" x14ac:dyDescent="0.2">
      <c r="A258" s="6" t="s">
        <v>35</v>
      </c>
      <c r="B258" s="13">
        <v>-16.11</v>
      </c>
      <c r="C258" s="16" t="s">
        <v>59</v>
      </c>
      <c r="D258" s="13">
        <v>-40.090000000000003</v>
      </c>
      <c r="E258" s="6">
        <v>61.88</v>
      </c>
      <c r="F258" s="13">
        <v>-265.29000000000002</v>
      </c>
      <c r="G258" s="13">
        <v>-10.7</v>
      </c>
      <c r="H258" s="13">
        <v>-80.78</v>
      </c>
      <c r="I258" s="6">
        <v>462.51</v>
      </c>
      <c r="J258" s="6">
        <v>343.31</v>
      </c>
      <c r="K258" s="6">
        <v>131.22</v>
      </c>
      <c r="L258" s="16" t="s">
        <v>59</v>
      </c>
      <c r="M258" s="6">
        <v>82.04</v>
      </c>
      <c r="N258" s="6">
        <v>92.17</v>
      </c>
      <c r="O258" s="6">
        <v>762.6</v>
      </c>
      <c r="P258" s="13">
        <v>-272.89999999999998</v>
      </c>
      <c r="Q258" s="6">
        <v>79.06</v>
      </c>
      <c r="R258" s="16" t="s">
        <v>59</v>
      </c>
      <c r="S258" s="16" t="s">
        <v>59</v>
      </c>
      <c r="T258" s="16" t="s">
        <v>59</v>
      </c>
      <c r="U258" s="16" t="s">
        <v>59</v>
      </c>
      <c r="W258" s="35" t="s">
        <v>60</v>
      </c>
      <c r="X258" s="35">
        <v>220</v>
      </c>
    </row>
    <row r="259" spans="1:24" x14ac:dyDescent="0.2">
      <c r="A259" s="2" t="s">
        <v>48</v>
      </c>
      <c r="B259" s="2">
        <v>1.1399999999999999</v>
      </c>
      <c r="C259" s="2">
        <v>1.56</v>
      </c>
      <c r="D259" s="9">
        <v>-2.7</v>
      </c>
      <c r="E259" s="9">
        <v>-2.34</v>
      </c>
      <c r="F259" s="9">
        <v>-8.6999999999999993</v>
      </c>
      <c r="G259" s="2">
        <v>4.63</v>
      </c>
      <c r="H259" s="2">
        <v>6.71</v>
      </c>
      <c r="I259" s="2">
        <v>44.67</v>
      </c>
      <c r="J259" s="2">
        <v>10.61</v>
      </c>
      <c r="K259" s="2">
        <v>3.37</v>
      </c>
      <c r="L259" s="2">
        <v>5.76</v>
      </c>
      <c r="M259" s="2">
        <v>6.92</v>
      </c>
      <c r="N259" s="2">
        <v>1.64</v>
      </c>
      <c r="O259" s="2">
        <v>3.94</v>
      </c>
      <c r="P259" s="9">
        <v>-4.7300000000000004</v>
      </c>
      <c r="Q259" s="2">
        <v>4.28</v>
      </c>
      <c r="R259" s="2">
        <v>0.94</v>
      </c>
      <c r="S259" s="2">
        <v>0.52</v>
      </c>
      <c r="T259" s="2">
        <v>3.14</v>
      </c>
      <c r="U259" s="2">
        <v>2.79</v>
      </c>
      <c r="W259" s="46" t="s">
        <v>84</v>
      </c>
      <c r="X259" s="46">
        <v>212</v>
      </c>
    </row>
    <row r="260" spans="1:24" x14ac:dyDescent="0.2">
      <c r="A260" s="7" t="s">
        <v>73</v>
      </c>
      <c r="B260" s="7">
        <v>3.42</v>
      </c>
      <c r="C260" s="7">
        <v>-4.01</v>
      </c>
      <c r="D260" s="7">
        <v>-1.18</v>
      </c>
      <c r="E260" s="7">
        <v>-7.22</v>
      </c>
      <c r="F260" s="7">
        <v>0.06</v>
      </c>
      <c r="G260" s="7">
        <v>3.39</v>
      </c>
      <c r="H260" s="7">
        <v>8.86</v>
      </c>
      <c r="I260" s="7">
        <v>151.41</v>
      </c>
      <c r="J260" s="7">
        <v>6.35</v>
      </c>
      <c r="K260" s="7">
        <v>3.3</v>
      </c>
      <c r="L260" s="7">
        <v>7.44</v>
      </c>
      <c r="M260" s="7">
        <v>6.19</v>
      </c>
      <c r="N260" s="7">
        <v>0.74</v>
      </c>
      <c r="O260" s="7">
        <v>3.61</v>
      </c>
      <c r="P260" s="7">
        <v>-3.87</v>
      </c>
      <c r="Q260" s="7">
        <v>3.17</v>
      </c>
      <c r="R260" s="7">
        <v>0.52</v>
      </c>
      <c r="S260" s="7">
        <v>-5.3</v>
      </c>
      <c r="T260" s="7">
        <v>0.53</v>
      </c>
      <c r="U260" s="7">
        <v>0.35</v>
      </c>
      <c r="W260" s="35" t="s">
        <v>57</v>
      </c>
      <c r="X260" s="35">
        <v>210</v>
      </c>
    </row>
    <row r="261" spans="1:24" x14ac:dyDescent="0.2">
      <c r="A261" s="2" t="s">
        <v>75</v>
      </c>
      <c r="B261" s="2">
        <v>0.55000000000000004</v>
      </c>
      <c r="C261" s="2">
        <v>1.27</v>
      </c>
      <c r="D261" s="2">
        <v>0.22</v>
      </c>
      <c r="E261" s="2">
        <v>0.28000000000000003</v>
      </c>
      <c r="F261" s="2">
        <v>0.19</v>
      </c>
      <c r="G261" s="2">
        <v>7.27</v>
      </c>
      <c r="H261" s="2">
        <v>6.14</v>
      </c>
      <c r="I261" s="2">
        <v>4.13</v>
      </c>
      <c r="J261" s="2">
        <v>6.21</v>
      </c>
      <c r="K261" s="2">
        <v>3.61</v>
      </c>
      <c r="L261" s="15" t="s">
        <v>59</v>
      </c>
      <c r="M261" s="15" t="s">
        <v>59</v>
      </c>
      <c r="N261" s="15" t="s">
        <v>59</v>
      </c>
      <c r="O261" s="15" t="s">
        <v>59</v>
      </c>
      <c r="P261" s="15" t="s">
        <v>59</v>
      </c>
      <c r="Q261" s="15" t="s">
        <v>59</v>
      </c>
      <c r="R261" s="15" t="s">
        <v>59</v>
      </c>
      <c r="S261" s="15" t="s">
        <v>59</v>
      </c>
      <c r="T261" s="15" t="s">
        <v>59</v>
      </c>
      <c r="U261" s="15" t="s">
        <v>59</v>
      </c>
      <c r="W261" s="33" t="s">
        <v>60</v>
      </c>
      <c r="X261" s="33">
        <v>220</v>
      </c>
    </row>
    <row r="262" spans="1:24" x14ac:dyDescent="0.2">
      <c r="A262" s="6" t="s">
        <v>77</v>
      </c>
      <c r="B262" s="6">
        <v>3.92</v>
      </c>
      <c r="C262" s="6">
        <v>3.79</v>
      </c>
      <c r="D262" s="6">
        <v>3.61</v>
      </c>
      <c r="E262" s="6">
        <v>2.88</v>
      </c>
      <c r="F262" s="6">
        <v>1.22</v>
      </c>
      <c r="G262" s="6">
        <v>2.1800000000000002</v>
      </c>
      <c r="H262" s="6">
        <v>1.94</v>
      </c>
      <c r="I262" s="6">
        <v>0.94</v>
      </c>
      <c r="J262" s="6">
        <v>0.67</v>
      </c>
      <c r="K262" s="6">
        <v>0.43</v>
      </c>
      <c r="L262" s="16" t="s">
        <v>59</v>
      </c>
      <c r="M262" s="16" t="s">
        <v>59</v>
      </c>
      <c r="N262" s="16" t="s">
        <v>59</v>
      </c>
      <c r="O262" s="16" t="s">
        <v>59</v>
      </c>
      <c r="P262" s="16" t="s">
        <v>59</v>
      </c>
      <c r="Q262" s="16" t="s">
        <v>59</v>
      </c>
      <c r="R262" s="16" t="s">
        <v>59</v>
      </c>
      <c r="S262" s="16" t="s">
        <v>59</v>
      </c>
      <c r="T262" s="16" t="s">
        <v>59</v>
      </c>
      <c r="U262" s="16" t="s">
        <v>59</v>
      </c>
      <c r="W262" s="35" t="s">
        <v>85</v>
      </c>
      <c r="X262" s="35">
        <v>179</v>
      </c>
    </row>
    <row r="263" spans="1:24" x14ac:dyDescent="0.2">
      <c r="A263" s="2" t="s">
        <v>79</v>
      </c>
      <c r="B263" s="9">
        <v>-1.05</v>
      </c>
      <c r="C263" s="9">
        <v>-9.07</v>
      </c>
      <c r="D263" s="9">
        <v>-5.01</v>
      </c>
      <c r="E263" s="9">
        <v>-10.38</v>
      </c>
      <c r="F263" s="9">
        <v>-1.36</v>
      </c>
      <c r="G263" s="9">
        <v>-6.06</v>
      </c>
      <c r="H263" s="2">
        <v>0.79</v>
      </c>
      <c r="I263" s="2">
        <v>146.33000000000001</v>
      </c>
      <c r="J263" s="9">
        <v>-0.52</v>
      </c>
      <c r="K263" s="9">
        <v>-0.73</v>
      </c>
      <c r="L263" s="15" t="s">
        <v>59</v>
      </c>
      <c r="M263" s="15" t="s">
        <v>59</v>
      </c>
      <c r="N263" s="15" t="s">
        <v>59</v>
      </c>
      <c r="O263" s="15" t="s">
        <v>59</v>
      </c>
      <c r="P263" s="15" t="s">
        <v>59</v>
      </c>
      <c r="Q263" s="15" t="s">
        <v>59</v>
      </c>
      <c r="R263" s="15" t="s">
        <v>59</v>
      </c>
      <c r="S263" s="15" t="s">
        <v>59</v>
      </c>
      <c r="T263" s="15" t="s">
        <v>59</v>
      </c>
      <c r="U263" s="15" t="s">
        <v>59</v>
      </c>
      <c r="W263" s="46" t="s">
        <v>86</v>
      </c>
      <c r="X263" s="46">
        <v>108</v>
      </c>
    </row>
    <row r="264" spans="1:24" x14ac:dyDescent="0.2">
      <c r="A264" s="7" t="s">
        <v>83</v>
      </c>
      <c r="B264" s="7">
        <v>10.82</v>
      </c>
      <c r="C264" s="7">
        <v>20.99</v>
      </c>
      <c r="D264" s="7">
        <v>-23.11</v>
      </c>
      <c r="E264" s="7">
        <v>-10.11</v>
      </c>
      <c r="F264" s="7">
        <v>-45.53</v>
      </c>
      <c r="G264" s="7">
        <v>24.13</v>
      </c>
      <c r="H264" s="7">
        <v>21.95</v>
      </c>
      <c r="I264" s="7">
        <v>8.8800000000000008</v>
      </c>
      <c r="J264" s="7">
        <v>22.15</v>
      </c>
      <c r="K264" s="7">
        <v>3.12</v>
      </c>
      <c r="L264" s="7">
        <v>13.71</v>
      </c>
      <c r="M264" s="7">
        <v>18.48</v>
      </c>
      <c r="N264" s="7">
        <v>4.51</v>
      </c>
      <c r="O264" s="7">
        <v>9.33</v>
      </c>
      <c r="P264" s="7">
        <v>-11.11</v>
      </c>
      <c r="Q264" s="7">
        <v>10.38</v>
      </c>
      <c r="R264" s="7">
        <v>2.21</v>
      </c>
      <c r="S264" s="7">
        <v>6.8</v>
      </c>
      <c r="T264" s="7">
        <v>8.14</v>
      </c>
      <c r="U264" s="7">
        <v>7.22</v>
      </c>
      <c r="W264" s="35" t="s">
        <v>57</v>
      </c>
      <c r="X264" s="35">
        <v>107</v>
      </c>
    </row>
    <row r="265" spans="1:24" x14ac:dyDescent="0.2">
      <c r="A265" s="2" t="s">
        <v>35</v>
      </c>
      <c r="B265" s="9">
        <v>-48.45</v>
      </c>
      <c r="C265" s="15" t="s">
        <v>59</v>
      </c>
      <c r="D265" s="9">
        <v>-128.51</v>
      </c>
      <c r="E265" s="2">
        <v>77.790000000000006</v>
      </c>
      <c r="F265" s="9">
        <v>-288.72000000000003</v>
      </c>
      <c r="G265" s="2">
        <v>9.93</v>
      </c>
      <c r="H265" s="2">
        <v>147.05000000000001</v>
      </c>
      <c r="I265" s="9">
        <v>-59.88</v>
      </c>
      <c r="J265" s="2">
        <v>608.9</v>
      </c>
      <c r="K265" s="2">
        <v>47.5</v>
      </c>
      <c r="L265" s="15" t="s">
        <v>59</v>
      </c>
      <c r="M265" s="2">
        <v>78.03</v>
      </c>
      <c r="N265" s="2">
        <v>103.84</v>
      </c>
      <c r="O265" s="2">
        <v>37.33</v>
      </c>
      <c r="P265" s="9">
        <v>-236.54</v>
      </c>
      <c r="Q265" s="2">
        <v>43.74</v>
      </c>
      <c r="R265" s="15" t="s">
        <v>59</v>
      </c>
      <c r="S265" s="15" t="s">
        <v>59</v>
      </c>
      <c r="T265" s="15" t="s">
        <v>59</v>
      </c>
      <c r="U265" s="15" t="s">
        <v>59</v>
      </c>
      <c r="W265" s="33" t="s">
        <v>60</v>
      </c>
      <c r="X265" s="33">
        <v>109</v>
      </c>
    </row>
    <row r="266" spans="1:24" x14ac:dyDescent="0.2">
      <c r="A266" s="6" t="s">
        <v>48</v>
      </c>
      <c r="B266" s="6">
        <v>0.86</v>
      </c>
      <c r="C266" s="6">
        <v>1.93</v>
      </c>
      <c r="D266" s="13">
        <v>-2.57</v>
      </c>
      <c r="E266" s="13">
        <v>-1.37</v>
      </c>
      <c r="F266" s="13">
        <v>-8.7100000000000009</v>
      </c>
      <c r="G266" s="6">
        <v>4.0599999999999996</v>
      </c>
      <c r="H266" s="6">
        <v>4.78</v>
      </c>
      <c r="I266" s="6">
        <v>2.48</v>
      </c>
      <c r="J266" s="6">
        <v>8.25</v>
      </c>
      <c r="K266" s="6">
        <v>1.64</v>
      </c>
      <c r="L266" s="6">
        <v>3.73</v>
      </c>
      <c r="M266" s="6">
        <v>5.19</v>
      </c>
      <c r="N266" s="6">
        <v>1.41</v>
      </c>
      <c r="O266" s="6">
        <v>2.84</v>
      </c>
      <c r="P266" s="13">
        <v>-3.51</v>
      </c>
      <c r="Q266" s="6">
        <v>3.28</v>
      </c>
      <c r="R266" s="6">
        <v>0.76</v>
      </c>
      <c r="S266" s="6">
        <v>2.37</v>
      </c>
      <c r="T266" s="6">
        <v>2.95</v>
      </c>
      <c r="U266" s="6">
        <v>2.66</v>
      </c>
      <c r="W266" s="42" t="s">
        <v>88</v>
      </c>
      <c r="X266" s="42">
        <v>66</v>
      </c>
    </row>
    <row r="267" spans="1:24" x14ac:dyDescent="0.2">
      <c r="A267" s="2" t="s">
        <v>294</v>
      </c>
      <c r="B267" s="2">
        <v>0.61</v>
      </c>
      <c r="C267" s="2">
        <v>0.73</v>
      </c>
      <c r="D267" s="9">
        <v>-1.88</v>
      </c>
      <c r="E267" s="9">
        <v>-1.46</v>
      </c>
      <c r="F267" s="9">
        <v>-3.38</v>
      </c>
      <c r="G267" s="2">
        <v>4.3</v>
      </c>
      <c r="H267" s="2">
        <v>6.77</v>
      </c>
      <c r="I267" s="2">
        <v>9.1999999999999993</v>
      </c>
      <c r="J267" s="2">
        <v>9.6999999999999993</v>
      </c>
      <c r="K267" s="2">
        <v>11.9</v>
      </c>
      <c r="L267" s="2">
        <v>1.21</v>
      </c>
      <c r="M267" s="2">
        <v>1.34</v>
      </c>
      <c r="N267" s="2">
        <v>0.27</v>
      </c>
      <c r="O267" s="2">
        <v>0.62</v>
      </c>
      <c r="P267" s="9">
        <v>-0.9</v>
      </c>
      <c r="Q267" s="2">
        <v>0.71</v>
      </c>
      <c r="R267" s="2">
        <v>0.17</v>
      </c>
      <c r="S267" s="2">
        <v>0.03</v>
      </c>
      <c r="T267" s="2">
        <v>0.51</v>
      </c>
      <c r="U267" s="2">
        <v>0.28000000000000003</v>
      </c>
      <c r="W267" s="33" t="s">
        <v>89</v>
      </c>
      <c r="X267" s="33">
        <v>66</v>
      </c>
    </row>
    <row r="268" spans="1:24" x14ac:dyDescent="0.2">
      <c r="A268" s="7" t="s">
        <v>87</v>
      </c>
      <c r="B268" s="7">
        <v>10.210000000000001</v>
      </c>
      <c r="C268" s="7">
        <v>20.260000000000002</v>
      </c>
      <c r="D268" s="7">
        <v>-21.23</v>
      </c>
      <c r="E268" s="7">
        <v>-8.66</v>
      </c>
      <c r="F268" s="7">
        <v>-42.16</v>
      </c>
      <c r="G268" s="7">
        <v>19.829999999999998</v>
      </c>
      <c r="H268" s="7">
        <v>15.18</v>
      </c>
      <c r="I268" s="7">
        <v>-0.32</v>
      </c>
      <c r="J268" s="7">
        <v>12.45</v>
      </c>
      <c r="K268" s="7">
        <v>-8.7799999999999994</v>
      </c>
      <c r="L268" s="7">
        <v>12.5</v>
      </c>
      <c r="M268" s="7">
        <v>17.149999999999999</v>
      </c>
      <c r="N268" s="7">
        <v>4.25</v>
      </c>
      <c r="O268" s="7">
        <v>8.7100000000000009</v>
      </c>
      <c r="P268" s="7">
        <v>-10.210000000000001</v>
      </c>
      <c r="Q268" s="7">
        <v>9.67</v>
      </c>
      <c r="R268" s="7">
        <v>2.04</v>
      </c>
      <c r="S268" s="7">
        <v>6.77</v>
      </c>
      <c r="T268" s="7">
        <v>7.63</v>
      </c>
      <c r="U268" s="7">
        <v>6.95</v>
      </c>
      <c r="W268" s="35" t="s">
        <v>90</v>
      </c>
      <c r="X268" s="35">
        <v>65</v>
      </c>
    </row>
    <row r="269" spans="1:24" x14ac:dyDescent="0.2">
      <c r="A269" s="2" t="s">
        <v>35</v>
      </c>
      <c r="B269" s="9">
        <v>-49.63</v>
      </c>
      <c r="C269" s="15" t="s">
        <v>59</v>
      </c>
      <c r="D269" s="9">
        <v>-145.28</v>
      </c>
      <c r="E269" s="2">
        <v>79.47</v>
      </c>
      <c r="F269" s="9">
        <v>-312.63</v>
      </c>
      <c r="G269" s="2">
        <v>30.62</v>
      </c>
      <c r="H269" s="15" t="s">
        <v>59</v>
      </c>
      <c r="I269" s="9">
        <v>-102.57</v>
      </c>
      <c r="J269" s="15" t="s">
        <v>59</v>
      </c>
      <c r="K269" s="9">
        <v>-514.35</v>
      </c>
      <c r="L269" s="15" t="s">
        <v>59</v>
      </c>
      <c r="M269" s="2">
        <v>77.37</v>
      </c>
      <c r="N269" s="2">
        <v>108.09</v>
      </c>
      <c r="O269" s="2">
        <v>28.73</v>
      </c>
      <c r="P269" s="9">
        <v>-233.88</v>
      </c>
      <c r="Q269" s="2">
        <v>39.15</v>
      </c>
      <c r="R269" s="15" t="s">
        <v>59</v>
      </c>
      <c r="S269" s="15" t="s">
        <v>59</v>
      </c>
      <c r="T269" s="15" t="s">
        <v>59</v>
      </c>
      <c r="U269" s="15" t="s">
        <v>59</v>
      </c>
      <c r="W269" s="33" t="s">
        <v>92</v>
      </c>
      <c r="X269" s="33">
        <v>2</v>
      </c>
    </row>
    <row r="270" spans="1:24" x14ac:dyDescent="0.2">
      <c r="A270" s="6" t="s">
        <v>48</v>
      </c>
      <c r="B270" s="6">
        <v>0.81</v>
      </c>
      <c r="C270" s="6">
        <v>1.86</v>
      </c>
      <c r="D270" s="13">
        <v>-2.36</v>
      </c>
      <c r="E270" s="13">
        <v>-1.17</v>
      </c>
      <c r="F270" s="13">
        <v>-8.06</v>
      </c>
      <c r="G270" s="6">
        <v>3.33</v>
      </c>
      <c r="H270" s="6">
        <v>3.3</v>
      </c>
      <c r="I270" s="13">
        <v>-0.09</v>
      </c>
      <c r="J270" s="6">
        <v>4.6399999999999997</v>
      </c>
      <c r="K270" s="13">
        <v>-4.5999999999999996</v>
      </c>
      <c r="L270" s="6">
        <v>3.4</v>
      </c>
      <c r="M270" s="6">
        <v>4.8099999999999996</v>
      </c>
      <c r="N270" s="6">
        <v>1.32</v>
      </c>
      <c r="O270" s="6">
        <v>2.65</v>
      </c>
      <c r="P270" s="13">
        <v>-3.22</v>
      </c>
      <c r="Q270" s="6">
        <v>3.05</v>
      </c>
      <c r="R270" s="6">
        <v>0.7</v>
      </c>
      <c r="S270" s="6">
        <v>2.36</v>
      </c>
      <c r="T270" s="6">
        <v>2.76</v>
      </c>
      <c r="U270" s="6">
        <v>2.56</v>
      </c>
      <c r="W270" s="42" t="s">
        <v>71</v>
      </c>
      <c r="X270" s="42">
        <v>76</v>
      </c>
    </row>
    <row r="271" spans="1:24" x14ac:dyDescent="0.2">
      <c r="A271" s="2" t="s">
        <v>91</v>
      </c>
      <c r="B271" s="2">
        <v>10.210000000000001</v>
      </c>
      <c r="C271" s="2">
        <v>20.260000000000002</v>
      </c>
      <c r="D271" s="9">
        <v>-21.23</v>
      </c>
      <c r="E271" s="9">
        <v>-8.66</v>
      </c>
      <c r="F271" s="9">
        <v>-42.16</v>
      </c>
      <c r="G271" s="2">
        <v>19.829999999999998</v>
      </c>
      <c r="H271" s="2">
        <v>15.18</v>
      </c>
      <c r="I271" s="9">
        <v>-0.32</v>
      </c>
      <c r="J271" s="2">
        <v>12.45</v>
      </c>
      <c r="K271" s="9">
        <v>-8.7799999999999994</v>
      </c>
      <c r="L271" s="2">
        <v>12.5</v>
      </c>
      <c r="M271" s="2">
        <v>17.149999999999999</v>
      </c>
      <c r="N271" s="2">
        <v>4.25</v>
      </c>
      <c r="O271" s="2">
        <v>8.7100000000000009</v>
      </c>
      <c r="P271" s="9">
        <v>-10.210000000000001</v>
      </c>
      <c r="Q271" s="2">
        <v>9.67</v>
      </c>
      <c r="R271" s="2">
        <v>2.04</v>
      </c>
      <c r="S271" s="2">
        <v>6.77</v>
      </c>
      <c r="T271" s="2">
        <v>7.63</v>
      </c>
      <c r="U271" s="2">
        <v>6.95</v>
      </c>
      <c r="W271" s="33" t="s">
        <v>95</v>
      </c>
      <c r="X271" s="33">
        <v>77</v>
      </c>
    </row>
    <row r="272" spans="1:24" x14ac:dyDescent="0.2">
      <c r="A272" s="7" t="s">
        <v>93</v>
      </c>
      <c r="B272" s="7" t="s">
        <v>1</v>
      </c>
      <c r="C272" s="7" t="s">
        <v>1</v>
      </c>
      <c r="D272" s="7" t="s">
        <v>1</v>
      </c>
      <c r="E272" s="7" t="s">
        <v>1</v>
      </c>
      <c r="F272" s="7" t="s">
        <v>1</v>
      </c>
      <c r="G272" s="7" t="s">
        <v>1</v>
      </c>
      <c r="H272" s="7" t="s">
        <v>1</v>
      </c>
      <c r="I272" s="7" t="s">
        <v>1</v>
      </c>
      <c r="J272" s="7" t="s">
        <v>1</v>
      </c>
      <c r="K272" s="7" t="s">
        <v>1</v>
      </c>
      <c r="L272" s="7" t="s">
        <v>1</v>
      </c>
      <c r="M272" s="7" t="s">
        <v>1</v>
      </c>
      <c r="N272" s="7" t="s">
        <v>1</v>
      </c>
      <c r="O272" s="7" t="s">
        <v>1</v>
      </c>
      <c r="P272" s="7" t="s">
        <v>1</v>
      </c>
      <c r="Q272" s="7" t="s">
        <v>1</v>
      </c>
      <c r="R272" s="7" t="s">
        <v>1</v>
      </c>
      <c r="S272" s="7" t="s">
        <v>1</v>
      </c>
      <c r="T272" s="7" t="s">
        <v>1</v>
      </c>
      <c r="U272" s="7" t="s">
        <v>1</v>
      </c>
      <c r="W272" s="35" t="s">
        <v>97</v>
      </c>
      <c r="X272" s="35">
        <v>76</v>
      </c>
    </row>
    <row r="273" spans="1:24" x14ac:dyDescent="0.2">
      <c r="A273" s="2" t="s">
        <v>94</v>
      </c>
      <c r="B273" s="2">
        <v>0.23</v>
      </c>
      <c r="C273" s="2">
        <v>0.46</v>
      </c>
      <c r="D273" s="9">
        <v>-0.54</v>
      </c>
      <c r="E273" s="9">
        <v>-0.22</v>
      </c>
      <c r="F273" s="9">
        <v>-0.99</v>
      </c>
      <c r="G273" s="2">
        <v>0.61</v>
      </c>
      <c r="H273" s="2">
        <v>0.52</v>
      </c>
      <c r="I273" s="9">
        <v>-0.01</v>
      </c>
      <c r="J273" s="2">
        <v>0.53</v>
      </c>
      <c r="K273" s="9">
        <v>-0.65</v>
      </c>
      <c r="L273" s="2">
        <v>0.3</v>
      </c>
      <c r="M273" s="2">
        <v>0.42</v>
      </c>
      <c r="N273" s="2">
        <v>0.1</v>
      </c>
      <c r="O273" s="2">
        <v>0.21</v>
      </c>
      <c r="P273" s="9">
        <v>-0.26</v>
      </c>
      <c r="Q273" s="2">
        <v>0.23</v>
      </c>
      <c r="R273" s="2">
        <v>0.05</v>
      </c>
      <c r="S273" s="2">
        <v>0.15</v>
      </c>
      <c r="T273" s="2">
        <v>0.19</v>
      </c>
      <c r="U273" s="2">
        <v>0.16</v>
      </c>
      <c r="W273" s="33" t="s">
        <v>99</v>
      </c>
      <c r="X273" s="33">
        <v>19</v>
      </c>
    </row>
    <row r="274" spans="1:24" x14ac:dyDescent="0.2">
      <c r="A274" s="7" t="s">
        <v>96</v>
      </c>
      <c r="B274" s="7">
        <v>0.26</v>
      </c>
      <c r="C274" s="7">
        <v>0.51</v>
      </c>
      <c r="D274" s="7">
        <v>-0.54</v>
      </c>
      <c r="E274" s="7">
        <v>-0.22</v>
      </c>
      <c r="F274" s="7">
        <v>-1.1399999999999999</v>
      </c>
      <c r="G274" s="7">
        <v>0.63</v>
      </c>
      <c r="H274" s="7">
        <v>0.54</v>
      </c>
      <c r="I274" s="7">
        <v>-0.01</v>
      </c>
      <c r="J274" s="7">
        <v>0.54</v>
      </c>
      <c r="K274" s="7">
        <v>-0.65</v>
      </c>
      <c r="L274" s="7">
        <v>0.31</v>
      </c>
      <c r="M274" s="7">
        <v>0.43</v>
      </c>
      <c r="N274" s="7">
        <v>0.11</v>
      </c>
      <c r="O274" s="7">
        <v>0.22</v>
      </c>
      <c r="P274" s="7">
        <v>-0.26</v>
      </c>
      <c r="Q274" s="7">
        <v>0.24</v>
      </c>
      <c r="R274" s="7">
        <v>0.05</v>
      </c>
      <c r="S274" s="7">
        <v>0.17</v>
      </c>
      <c r="T274" s="7">
        <v>0.19</v>
      </c>
      <c r="U274" s="7">
        <v>0.18</v>
      </c>
      <c r="W274" s="42" t="s">
        <v>87</v>
      </c>
      <c r="X274" s="42">
        <v>59</v>
      </c>
    </row>
    <row r="275" spans="1:24" x14ac:dyDescent="0.2">
      <c r="A275" s="2" t="s">
        <v>98</v>
      </c>
      <c r="B275" s="2">
        <v>39.83</v>
      </c>
      <c r="C275" s="2">
        <v>39.42</v>
      </c>
      <c r="D275" s="2">
        <v>39.24</v>
      </c>
      <c r="E275" s="2">
        <v>39.090000000000003</v>
      </c>
      <c r="F275" s="2">
        <v>37.130000000000003</v>
      </c>
      <c r="G275" s="2">
        <v>31.38</v>
      </c>
      <c r="H275" s="2">
        <v>28.3</v>
      </c>
      <c r="I275" s="2">
        <v>25.88</v>
      </c>
      <c r="J275" s="2">
        <v>22.96</v>
      </c>
      <c r="K275" s="2">
        <v>13.59</v>
      </c>
      <c r="L275" s="2">
        <v>40.25</v>
      </c>
      <c r="M275" s="2">
        <v>40.229999999999997</v>
      </c>
      <c r="N275" s="2">
        <v>40.119999999999997</v>
      </c>
      <c r="O275" s="2">
        <v>40.049999999999997</v>
      </c>
      <c r="P275" s="2">
        <v>40.01</v>
      </c>
      <c r="Q275" s="2">
        <v>39.75</v>
      </c>
      <c r="R275" s="2">
        <v>39.520000000000003</v>
      </c>
      <c r="S275" s="2">
        <v>39.47</v>
      </c>
      <c r="T275" s="2">
        <v>39.46</v>
      </c>
      <c r="U275" s="2">
        <v>39.42</v>
      </c>
      <c r="W275" s="33" t="s">
        <v>57</v>
      </c>
      <c r="X275" s="33">
        <v>50</v>
      </c>
    </row>
    <row r="276" spans="1:24" x14ac:dyDescent="0.2">
      <c r="A276" s="6" t="s">
        <v>100</v>
      </c>
      <c r="B276" s="6">
        <v>40.07</v>
      </c>
      <c r="C276" s="6">
        <v>39.47</v>
      </c>
      <c r="D276" s="6">
        <v>39.28</v>
      </c>
      <c r="E276" s="6">
        <v>39.14</v>
      </c>
      <c r="F276" s="6">
        <v>38.72</v>
      </c>
      <c r="G276" s="6">
        <v>34.42</v>
      </c>
      <c r="H276" s="6">
        <v>29.52</v>
      </c>
      <c r="I276" s="6">
        <v>26.53</v>
      </c>
      <c r="J276" s="6">
        <v>25.15</v>
      </c>
      <c r="K276" s="6">
        <v>19.79</v>
      </c>
      <c r="L276" s="6">
        <v>40.25</v>
      </c>
      <c r="M276" s="6">
        <v>40.24</v>
      </c>
      <c r="N276" s="6">
        <v>40.22</v>
      </c>
      <c r="O276" s="6">
        <v>40.07</v>
      </c>
      <c r="P276" s="6">
        <v>40.03</v>
      </c>
      <c r="Q276" s="6">
        <v>39.97</v>
      </c>
      <c r="R276" s="6">
        <v>39.64</v>
      </c>
      <c r="S276" s="6">
        <v>39.47</v>
      </c>
      <c r="T276" s="6">
        <v>39.47</v>
      </c>
      <c r="U276" s="6">
        <v>39.450000000000003</v>
      </c>
      <c r="W276" s="35" t="s">
        <v>60</v>
      </c>
      <c r="X276" s="35">
        <v>60</v>
      </c>
    </row>
    <row r="277" spans="1:24" x14ac:dyDescent="0.2">
      <c r="A277" s="11" t="s">
        <v>101</v>
      </c>
      <c r="B277" s="11">
        <v>0.23</v>
      </c>
      <c r="C277" s="11">
        <v>0.46</v>
      </c>
      <c r="D277" s="11">
        <v>-0.54</v>
      </c>
      <c r="E277" s="11">
        <v>-0.22</v>
      </c>
      <c r="F277" s="11">
        <v>-1.1399999999999999</v>
      </c>
      <c r="G277" s="11">
        <v>0.61</v>
      </c>
      <c r="H277" s="11">
        <v>0.52</v>
      </c>
      <c r="I277" s="11">
        <v>-0.01</v>
      </c>
      <c r="J277" s="11">
        <v>0.53</v>
      </c>
      <c r="K277" s="11">
        <v>-0.65</v>
      </c>
      <c r="L277" s="11">
        <v>0.3</v>
      </c>
      <c r="M277" s="11">
        <v>0.41</v>
      </c>
      <c r="N277" s="11">
        <v>0.1</v>
      </c>
      <c r="O277" s="11">
        <v>0.21</v>
      </c>
      <c r="P277" s="11">
        <v>-0.26</v>
      </c>
      <c r="Q277" s="11">
        <v>0.23</v>
      </c>
      <c r="R277" s="11">
        <v>0.05</v>
      </c>
      <c r="S277" s="11">
        <v>0.15</v>
      </c>
      <c r="T277" s="11">
        <v>0.19</v>
      </c>
      <c r="U277" s="11">
        <v>0.16</v>
      </c>
      <c r="W277" s="46" t="s">
        <v>102</v>
      </c>
      <c r="X277" s="46">
        <v>59</v>
      </c>
    </row>
    <row r="278" spans="1:24" x14ac:dyDescent="0.2">
      <c r="A278" s="6" t="s">
        <v>103</v>
      </c>
      <c r="B278" s="6">
        <v>44.2</v>
      </c>
      <c r="C278" s="6">
        <v>43.9</v>
      </c>
      <c r="D278" s="6">
        <v>39.24</v>
      </c>
      <c r="E278" s="6">
        <v>39.090000000000003</v>
      </c>
      <c r="F278" s="6">
        <v>37.130000000000003</v>
      </c>
      <c r="G278" s="6">
        <v>32.25</v>
      </c>
      <c r="H278" s="6">
        <v>29.18</v>
      </c>
      <c r="I278" s="6">
        <v>25.88</v>
      </c>
      <c r="J278" s="6">
        <v>23.45</v>
      </c>
      <c r="K278" s="6">
        <v>13.59</v>
      </c>
      <c r="L278" s="6">
        <v>41.87</v>
      </c>
      <c r="M278" s="6">
        <v>41.82</v>
      </c>
      <c r="N278" s="6">
        <v>41.86</v>
      </c>
      <c r="O278" s="6">
        <v>41.87</v>
      </c>
      <c r="P278" s="6">
        <v>40.01</v>
      </c>
      <c r="Q278" s="6">
        <v>41.48</v>
      </c>
      <c r="R278" s="6">
        <v>41.26</v>
      </c>
      <c r="S278" s="6">
        <v>43.94</v>
      </c>
      <c r="T278" s="6">
        <v>43.98</v>
      </c>
      <c r="U278" s="6">
        <v>43.89</v>
      </c>
      <c r="W278" s="35" t="s">
        <v>57</v>
      </c>
      <c r="X278" s="35">
        <v>50</v>
      </c>
    </row>
    <row r="279" spans="1:24" x14ac:dyDescent="0.2">
      <c r="A279" s="2" t="s">
        <v>100</v>
      </c>
      <c r="B279" s="2">
        <v>40.07</v>
      </c>
      <c r="C279" s="2">
        <v>39.47</v>
      </c>
      <c r="D279" s="2">
        <v>39.28</v>
      </c>
      <c r="E279" s="2">
        <v>39.14</v>
      </c>
      <c r="F279" s="2">
        <v>38.72</v>
      </c>
      <c r="G279" s="2">
        <v>34.42</v>
      </c>
      <c r="H279" s="2">
        <v>29.52</v>
      </c>
      <c r="I279" s="2">
        <v>26.53</v>
      </c>
      <c r="J279" s="2">
        <v>25.15</v>
      </c>
      <c r="K279" s="2">
        <v>19.79</v>
      </c>
      <c r="L279" s="2">
        <v>40.25</v>
      </c>
      <c r="M279" s="2">
        <v>40.24</v>
      </c>
      <c r="N279" s="2">
        <v>40.22</v>
      </c>
      <c r="O279" s="2">
        <v>40.07</v>
      </c>
      <c r="P279" s="2">
        <v>40.03</v>
      </c>
      <c r="Q279" s="2">
        <v>39.97</v>
      </c>
      <c r="R279" s="2">
        <v>39.64</v>
      </c>
      <c r="S279" s="2">
        <v>39.47</v>
      </c>
      <c r="T279" s="2">
        <v>39.47</v>
      </c>
      <c r="U279" s="2">
        <v>39.450000000000003</v>
      </c>
      <c r="W279" s="33" t="s">
        <v>60</v>
      </c>
      <c r="X279" s="33">
        <v>60</v>
      </c>
    </row>
    <row r="280" spans="1:24" x14ac:dyDescent="0.2">
      <c r="A280" s="6" t="s">
        <v>105</v>
      </c>
      <c r="B280" s="6">
        <v>87.04</v>
      </c>
      <c r="C280" s="6">
        <v>86.98</v>
      </c>
      <c r="D280" s="6">
        <v>84.53</v>
      </c>
      <c r="E280" s="6">
        <v>81.86</v>
      </c>
      <c r="F280" s="6">
        <v>89.23</v>
      </c>
      <c r="G280" s="6">
        <v>64.98</v>
      </c>
      <c r="H280" s="6">
        <v>78.14</v>
      </c>
      <c r="I280" s="6">
        <v>82.22</v>
      </c>
      <c r="J280" s="6">
        <v>63.5</v>
      </c>
      <c r="K280" s="6">
        <v>66.040000000000006</v>
      </c>
      <c r="L280" s="6">
        <v>90.05</v>
      </c>
      <c r="M280" s="6">
        <v>90.17</v>
      </c>
      <c r="N280" s="6">
        <v>88.87</v>
      </c>
      <c r="O280" s="6">
        <v>87.04</v>
      </c>
      <c r="P280" s="6">
        <v>84.71</v>
      </c>
      <c r="Q280" s="6">
        <v>84.46</v>
      </c>
      <c r="R280" s="6">
        <v>85.4</v>
      </c>
      <c r="S280" s="6">
        <v>87.01</v>
      </c>
      <c r="T280" s="6">
        <v>83.92</v>
      </c>
      <c r="U280" s="6">
        <v>83.99</v>
      </c>
      <c r="W280" s="35" t="s">
        <v>104</v>
      </c>
      <c r="X280" s="35">
        <v>52</v>
      </c>
    </row>
    <row r="281" spans="1:24" x14ac:dyDescent="0.2">
      <c r="A281" s="11" t="s">
        <v>82</v>
      </c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W281" s="33"/>
      <c r="X281" s="33"/>
    </row>
    <row r="282" spans="1:24" x14ac:dyDescent="0.2">
      <c r="A282" s="7" t="s">
        <v>82</v>
      </c>
      <c r="B282" s="7">
        <v>155.56</v>
      </c>
      <c r="C282" s="7">
        <v>121.2</v>
      </c>
      <c r="D282" s="7">
        <v>64.88</v>
      </c>
      <c r="E282" s="7">
        <v>59.31</v>
      </c>
      <c r="F282" s="7">
        <v>25.1</v>
      </c>
      <c r="G282" s="7">
        <v>82.58</v>
      </c>
      <c r="H282" s="7">
        <v>73.91</v>
      </c>
      <c r="I282" s="7">
        <v>65.73</v>
      </c>
      <c r="J282" s="7">
        <v>42.34</v>
      </c>
      <c r="K282" s="7">
        <v>16.989999999999998</v>
      </c>
      <c r="L282" s="7">
        <v>51.27</v>
      </c>
      <c r="M282" s="7">
        <v>55.32</v>
      </c>
      <c r="N282" s="7">
        <v>35.270000000000003</v>
      </c>
      <c r="O282" s="7">
        <v>43.41</v>
      </c>
      <c r="P282" s="7">
        <v>41.01</v>
      </c>
      <c r="Q282" s="7">
        <v>42.39</v>
      </c>
      <c r="R282" s="7">
        <v>29.27</v>
      </c>
      <c r="S282" s="7">
        <v>29.76</v>
      </c>
      <c r="T282" s="7">
        <v>34.69</v>
      </c>
      <c r="U282" s="7">
        <v>34.340000000000003</v>
      </c>
      <c r="W282" s="33" t="s">
        <v>106</v>
      </c>
      <c r="X282" s="33"/>
    </row>
    <row r="283" spans="1:24" x14ac:dyDescent="0.2">
      <c r="A283" s="2" t="s">
        <v>108</v>
      </c>
      <c r="B283" s="2">
        <v>50.95</v>
      </c>
      <c r="C283" s="2">
        <v>28.16</v>
      </c>
      <c r="D283" s="9">
        <v>-9.42</v>
      </c>
      <c r="E283" s="9">
        <v>-0.93</v>
      </c>
      <c r="F283" s="9">
        <v>-25.15</v>
      </c>
      <c r="G283" s="2">
        <v>41.87</v>
      </c>
      <c r="H283" s="2">
        <v>44.91</v>
      </c>
      <c r="I283" s="2">
        <v>44.02</v>
      </c>
      <c r="J283" s="2">
        <v>27.84</v>
      </c>
      <c r="K283" s="2">
        <v>6.77</v>
      </c>
      <c r="L283" s="2">
        <v>23.68</v>
      </c>
      <c r="M283" s="2">
        <v>28.21</v>
      </c>
      <c r="N283" s="2">
        <v>8.1199999999999992</v>
      </c>
      <c r="O283" s="2">
        <v>17.04</v>
      </c>
      <c r="P283" s="2">
        <v>14.76</v>
      </c>
      <c r="Q283" s="2">
        <v>15.84</v>
      </c>
      <c r="R283" s="2">
        <v>3.31</v>
      </c>
      <c r="S283" s="2">
        <v>4.74</v>
      </c>
      <c r="T283" s="2">
        <v>11.12</v>
      </c>
      <c r="U283" s="2">
        <v>11.21</v>
      </c>
      <c r="W283" s="34" t="s">
        <v>1</v>
      </c>
      <c r="X283" s="34" t="s">
        <v>7</v>
      </c>
    </row>
    <row r="284" spans="1:24" x14ac:dyDescent="0.2">
      <c r="A284" s="6" t="s">
        <v>40</v>
      </c>
      <c r="B284" s="6">
        <v>104.61</v>
      </c>
      <c r="C284" s="6">
        <v>93.04</v>
      </c>
      <c r="D284" s="6">
        <v>74.3</v>
      </c>
      <c r="E284" s="6">
        <v>60.24</v>
      </c>
      <c r="F284" s="6">
        <v>50.25</v>
      </c>
      <c r="G284" s="6">
        <v>40.700000000000003</v>
      </c>
      <c r="H284" s="6">
        <v>29</v>
      </c>
      <c r="I284" s="6">
        <v>21.7</v>
      </c>
      <c r="J284" s="6">
        <v>14.5</v>
      </c>
      <c r="K284" s="6">
        <v>10.220000000000001</v>
      </c>
      <c r="L284" s="6">
        <v>27.59</v>
      </c>
      <c r="M284" s="6">
        <v>27.11</v>
      </c>
      <c r="N284" s="6">
        <v>27.15</v>
      </c>
      <c r="O284" s="6">
        <v>26.37</v>
      </c>
      <c r="P284" s="6">
        <v>26.25</v>
      </c>
      <c r="Q284" s="6">
        <v>26.54</v>
      </c>
      <c r="R284" s="6">
        <v>25.96</v>
      </c>
      <c r="S284" s="6">
        <v>25.02</v>
      </c>
      <c r="T284" s="6">
        <v>23.57</v>
      </c>
      <c r="U284" s="6">
        <v>23.13</v>
      </c>
      <c r="W284" s="42" t="s">
        <v>107</v>
      </c>
      <c r="X284" s="42">
        <v>423</v>
      </c>
    </row>
    <row r="285" spans="1:24" x14ac:dyDescent="0.2">
      <c r="A285" s="2" t="s">
        <v>111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W285" s="33" t="s">
        <v>109</v>
      </c>
      <c r="X285" s="33">
        <v>360</v>
      </c>
    </row>
    <row r="286" spans="1:24" x14ac:dyDescent="0.2">
      <c r="A286" s="6" t="s">
        <v>113</v>
      </c>
      <c r="B286" s="6">
        <v>99.97</v>
      </c>
      <c r="C286" s="6">
        <v>87.02</v>
      </c>
      <c r="D286" s="6">
        <v>87.02</v>
      </c>
      <c r="E286" s="6">
        <v>64.2</v>
      </c>
      <c r="F286" s="6">
        <v>59.17</v>
      </c>
      <c r="G286" s="6">
        <v>56.52</v>
      </c>
      <c r="H286" s="6">
        <v>30.97</v>
      </c>
      <c r="I286" s="6">
        <v>26.16</v>
      </c>
      <c r="J286" s="6">
        <v>21.82</v>
      </c>
      <c r="K286" s="6">
        <v>15.24</v>
      </c>
      <c r="L286" s="6">
        <v>28.93</v>
      </c>
      <c r="M286" s="6">
        <v>27.67</v>
      </c>
      <c r="N286" s="6">
        <v>26.42</v>
      </c>
      <c r="O286" s="6">
        <v>25.78</v>
      </c>
      <c r="P286" s="6">
        <v>25.4</v>
      </c>
      <c r="Q286" s="6">
        <v>24.88</v>
      </c>
      <c r="R286" s="6">
        <v>23.91</v>
      </c>
      <c r="S286" s="6">
        <v>23.59</v>
      </c>
      <c r="T286" s="6">
        <v>21.87</v>
      </c>
      <c r="U286" s="6">
        <v>21.48</v>
      </c>
      <c r="W286" s="35" t="s">
        <v>110</v>
      </c>
      <c r="X286" s="35">
        <v>21</v>
      </c>
    </row>
    <row r="287" spans="1:24" x14ac:dyDescent="0.2">
      <c r="A287" s="2" t="s">
        <v>115</v>
      </c>
      <c r="B287" s="2">
        <v>15.52</v>
      </c>
      <c r="C287" s="2">
        <v>11.45</v>
      </c>
      <c r="D287" s="2">
        <v>12.94</v>
      </c>
      <c r="E287" s="2">
        <v>8.48</v>
      </c>
      <c r="F287" s="2">
        <v>5.36</v>
      </c>
      <c r="G287" s="2">
        <v>7.32</v>
      </c>
      <c r="H287" s="2">
        <v>5.97</v>
      </c>
      <c r="I287" s="2">
        <v>5.43</v>
      </c>
      <c r="J287" s="2">
        <v>5.19</v>
      </c>
      <c r="K287" s="2">
        <v>16.2</v>
      </c>
      <c r="L287" s="2">
        <v>4.29</v>
      </c>
      <c r="M287" s="2">
        <v>5.09</v>
      </c>
      <c r="N287" s="2">
        <v>4.45</v>
      </c>
      <c r="O287" s="2">
        <v>4.38</v>
      </c>
      <c r="P287" s="2">
        <v>4.0599999999999996</v>
      </c>
      <c r="Q287" s="2">
        <v>3.63</v>
      </c>
      <c r="R287" s="2">
        <v>3.54</v>
      </c>
      <c r="S287" s="2">
        <v>2.83</v>
      </c>
      <c r="T287" s="2">
        <v>3.38</v>
      </c>
      <c r="U287" s="2">
        <v>3.83</v>
      </c>
      <c r="W287" s="33" t="s">
        <v>112</v>
      </c>
      <c r="X287" s="33">
        <v>6</v>
      </c>
    </row>
    <row r="288" spans="1:24" x14ac:dyDescent="0.2">
      <c r="A288" s="6" t="s">
        <v>117</v>
      </c>
      <c r="B288" s="6">
        <v>24.04</v>
      </c>
      <c r="C288" s="13">
        <v>-23.62</v>
      </c>
      <c r="D288" s="16" t="s">
        <v>59</v>
      </c>
      <c r="E288" s="16" t="s">
        <v>59</v>
      </c>
      <c r="F288" s="16" t="s">
        <v>59</v>
      </c>
      <c r="G288" s="6">
        <v>12.31</v>
      </c>
      <c r="H288" s="6">
        <v>28.76</v>
      </c>
      <c r="I288" s="6">
        <v>94.46</v>
      </c>
      <c r="J288" s="6">
        <v>22.28</v>
      </c>
      <c r="K288" s="6">
        <v>51.4</v>
      </c>
      <c r="L288" s="6">
        <v>35.159999999999997</v>
      </c>
      <c r="M288" s="6">
        <v>25.1</v>
      </c>
      <c r="N288" s="6">
        <v>14.04</v>
      </c>
      <c r="O288" s="6">
        <v>27.87</v>
      </c>
      <c r="P288" s="16" t="s">
        <v>59</v>
      </c>
      <c r="Q288" s="6">
        <v>23.41</v>
      </c>
      <c r="R288" s="6">
        <v>18.96</v>
      </c>
      <c r="S288" s="13">
        <v>-353.07</v>
      </c>
      <c r="T288" s="6">
        <v>6.11</v>
      </c>
      <c r="U288" s="6">
        <v>4.58</v>
      </c>
      <c r="W288" s="42" t="s">
        <v>114</v>
      </c>
      <c r="X288" s="42">
        <v>221</v>
      </c>
    </row>
    <row r="289" spans="1:24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W289" s="33" t="s">
        <v>116</v>
      </c>
      <c r="X289" s="33">
        <v>23</v>
      </c>
    </row>
    <row r="290" spans="1:24" x14ac:dyDescent="0.2">
      <c r="A290" s="6" t="s">
        <v>120</v>
      </c>
      <c r="B290" s="6" t="s">
        <v>1</v>
      </c>
      <c r="C290" s="6" t="s">
        <v>1</v>
      </c>
      <c r="D290" s="6" t="s">
        <v>1</v>
      </c>
      <c r="E290" s="6" t="s">
        <v>1</v>
      </c>
      <c r="F290" s="6" t="s">
        <v>1</v>
      </c>
      <c r="G290" s="6" t="s">
        <v>1</v>
      </c>
      <c r="H290" s="6" t="s">
        <v>1</v>
      </c>
      <c r="I290" s="6" t="s">
        <v>1</v>
      </c>
      <c r="J290" s="6" t="s">
        <v>1</v>
      </c>
      <c r="K290" s="6" t="s">
        <v>1</v>
      </c>
      <c r="L290" s="6" t="s">
        <v>1</v>
      </c>
      <c r="M290" s="6" t="s">
        <v>1</v>
      </c>
      <c r="N290" s="6" t="s">
        <v>1</v>
      </c>
      <c r="O290" s="6" t="s">
        <v>1</v>
      </c>
      <c r="P290" s="6" t="s">
        <v>1</v>
      </c>
      <c r="Q290" s="6" t="s">
        <v>1</v>
      </c>
      <c r="R290" s="6" t="s">
        <v>1</v>
      </c>
      <c r="S290" s="6" t="s">
        <v>1</v>
      </c>
      <c r="T290" s="6" t="s">
        <v>1</v>
      </c>
      <c r="U290" s="6" t="s">
        <v>1</v>
      </c>
      <c r="W290" s="35" t="s">
        <v>118</v>
      </c>
      <c r="X290" s="45">
        <v>1834</v>
      </c>
    </row>
    <row r="291" spans="1:24" x14ac:dyDescent="0.2">
      <c r="A291" s="2" t="s">
        <v>120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W291" s="33" t="s">
        <v>119</v>
      </c>
      <c r="X291" s="33">
        <v>0</v>
      </c>
    </row>
    <row r="292" spans="1:24" x14ac:dyDescent="0.2">
      <c r="A292" s="7" t="s">
        <v>123</v>
      </c>
      <c r="B292" s="7" t="s">
        <v>1</v>
      </c>
      <c r="C292" s="7" t="s">
        <v>1</v>
      </c>
      <c r="D292" s="7" t="s">
        <v>1</v>
      </c>
      <c r="E292" s="7" t="s">
        <v>1</v>
      </c>
      <c r="F292" s="7" t="s">
        <v>1</v>
      </c>
      <c r="G292" s="7" t="s">
        <v>1</v>
      </c>
      <c r="H292" s="7" t="s">
        <v>1</v>
      </c>
      <c r="I292" s="7" t="s">
        <v>1</v>
      </c>
      <c r="J292" s="7" t="s">
        <v>1</v>
      </c>
      <c r="K292" s="7" t="s">
        <v>1</v>
      </c>
      <c r="L292" s="7" t="s">
        <v>1</v>
      </c>
      <c r="M292" s="7" t="s">
        <v>1</v>
      </c>
      <c r="N292" s="7" t="s">
        <v>1</v>
      </c>
      <c r="O292" s="7" t="s">
        <v>1</v>
      </c>
      <c r="P292" s="7" t="s">
        <v>1</v>
      </c>
      <c r="Q292" s="7" t="s">
        <v>1</v>
      </c>
      <c r="R292" s="7" t="s">
        <v>1</v>
      </c>
      <c r="S292" s="7" t="s">
        <v>1</v>
      </c>
      <c r="T292" s="7" t="s">
        <v>1</v>
      </c>
      <c r="U292" s="7" t="s">
        <v>1</v>
      </c>
      <c r="W292" s="35" t="s">
        <v>121</v>
      </c>
      <c r="X292" s="35">
        <v>247</v>
      </c>
    </row>
    <row r="293" spans="1:24" x14ac:dyDescent="0.2">
      <c r="A293" s="11" t="s">
        <v>125</v>
      </c>
      <c r="B293" s="11">
        <v>320.7</v>
      </c>
      <c r="C293" s="11">
        <v>293.2</v>
      </c>
      <c r="D293" s="11">
        <v>311.2</v>
      </c>
      <c r="E293" s="11">
        <v>382.4</v>
      </c>
      <c r="F293" s="11">
        <v>183.8</v>
      </c>
      <c r="G293" s="11">
        <v>73.599999999999994</v>
      </c>
      <c r="H293" s="11">
        <v>86.9</v>
      </c>
      <c r="I293" s="11">
        <v>84.5</v>
      </c>
      <c r="J293" s="11">
        <v>75.5</v>
      </c>
      <c r="K293" s="11">
        <v>71.099999999999994</v>
      </c>
      <c r="L293" s="11">
        <v>357.8</v>
      </c>
      <c r="M293" s="11">
        <v>336.8</v>
      </c>
      <c r="N293" s="11">
        <v>312.89999999999998</v>
      </c>
      <c r="O293" s="11">
        <v>320.7</v>
      </c>
      <c r="P293" s="11">
        <v>310.89999999999998</v>
      </c>
      <c r="Q293" s="11">
        <v>304.39999999999998</v>
      </c>
      <c r="R293" s="11">
        <v>284.8</v>
      </c>
      <c r="S293" s="11">
        <v>293.2</v>
      </c>
      <c r="T293" s="11">
        <v>285</v>
      </c>
      <c r="U293" s="11">
        <v>295.2</v>
      </c>
      <c r="W293" s="33" t="s">
        <v>122</v>
      </c>
      <c r="X293" s="33">
        <v>247</v>
      </c>
    </row>
    <row r="294" spans="1:24" x14ac:dyDescent="0.2">
      <c r="A294" s="6" t="s">
        <v>127</v>
      </c>
      <c r="B294" s="6">
        <v>320.7</v>
      </c>
      <c r="C294" s="6">
        <v>224.7</v>
      </c>
      <c r="D294" s="6">
        <v>230.5</v>
      </c>
      <c r="E294" s="6">
        <v>302.39999999999998</v>
      </c>
      <c r="F294" s="6">
        <v>146.9</v>
      </c>
      <c r="G294" s="6">
        <v>37.1</v>
      </c>
      <c r="H294" s="6">
        <v>24.8</v>
      </c>
      <c r="I294" s="6">
        <v>21.5</v>
      </c>
      <c r="J294" s="6">
        <v>11.6</v>
      </c>
      <c r="K294" s="6">
        <v>70.8</v>
      </c>
      <c r="L294" s="6">
        <v>357.8</v>
      </c>
      <c r="M294" s="6">
        <v>336.8</v>
      </c>
      <c r="N294" s="6">
        <v>312.89999999999998</v>
      </c>
      <c r="O294" s="6">
        <v>320.7</v>
      </c>
      <c r="P294" s="6">
        <v>310.89999999999998</v>
      </c>
      <c r="Q294" s="6">
        <v>301.8</v>
      </c>
      <c r="R294" s="6">
        <v>260.2</v>
      </c>
      <c r="S294" s="6">
        <v>224.7</v>
      </c>
      <c r="T294" s="6">
        <v>190</v>
      </c>
      <c r="U294" s="6">
        <v>203.7</v>
      </c>
      <c r="W294" s="35" t="s">
        <v>124</v>
      </c>
      <c r="X294" s="35">
        <v>0</v>
      </c>
    </row>
    <row r="295" spans="1:24" x14ac:dyDescent="0.2">
      <c r="A295" s="2" t="s">
        <v>129</v>
      </c>
      <c r="B295" s="2">
        <v>0</v>
      </c>
      <c r="C295" s="2">
        <v>68.599999999999994</v>
      </c>
      <c r="D295" s="2">
        <v>80.7</v>
      </c>
      <c r="E295" s="2">
        <v>80</v>
      </c>
      <c r="F295" s="2">
        <v>36.9</v>
      </c>
      <c r="G295" s="2">
        <v>36.5</v>
      </c>
      <c r="H295" s="2">
        <v>62.1</v>
      </c>
      <c r="I295" s="2">
        <v>63</v>
      </c>
      <c r="J295" s="2">
        <v>63.8</v>
      </c>
      <c r="K295" s="2">
        <v>0.3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2.6</v>
      </c>
      <c r="R295" s="2">
        <v>24.6</v>
      </c>
      <c r="S295" s="2">
        <v>68.599999999999994</v>
      </c>
      <c r="T295" s="2">
        <v>95</v>
      </c>
      <c r="U295" s="2">
        <v>91.5</v>
      </c>
      <c r="W295" s="33" t="s">
        <v>126</v>
      </c>
      <c r="X295" s="40">
        <v>-107</v>
      </c>
    </row>
    <row r="296" spans="1:24" x14ac:dyDescent="0.2">
      <c r="A296" s="7" t="s">
        <v>131</v>
      </c>
      <c r="B296" s="7">
        <v>19.7</v>
      </c>
      <c r="C296" s="7">
        <v>16.8</v>
      </c>
      <c r="D296" s="7">
        <v>13.9</v>
      </c>
      <c r="E296" s="7">
        <v>13.7</v>
      </c>
      <c r="F296" s="7">
        <v>9.5</v>
      </c>
      <c r="G296" s="7">
        <v>10</v>
      </c>
      <c r="H296" s="7">
        <v>10.6</v>
      </c>
      <c r="I296" s="7">
        <v>5.7</v>
      </c>
      <c r="J296" s="7">
        <v>6</v>
      </c>
      <c r="K296" s="7">
        <v>4.2</v>
      </c>
      <c r="L296" s="7">
        <v>37.5</v>
      </c>
      <c r="M296" s="7">
        <v>36.799999999999997</v>
      </c>
      <c r="N296" s="7">
        <v>33.5</v>
      </c>
      <c r="O296" s="7">
        <v>19.7</v>
      </c>
      <c r="P296" s="7">
        <v>27.8</v>
      </c>
      <c r="Q296" s="7">
        <v>28.4</v>
      </c>
      <c r="R296" s="7">
        <v>14.5</v>
      </c>
      <c r="S296" s="7">
        <v>16.8</v>
      </c>
      <c r="T296" s="7">
        <v>26</v>
      </c>
      <c r="U296" s="7">
        <v>14.3</v>
      </c>
      <c r="W296" s="35" t="s">
        <v>128</v>
      </c>
      <c r="X296" s="35">
        <v>184</v>
      </c>
    </row>
    <row r="297" spans="1:24" x14ac:dyDescent="0.2">
      <c r="A297" s="11" t="s">
        <v>133</v>
      </c>
      <c r="B297" s="11">
        <v>15.8</v>
      </c>
      <c r="C297" s="11">
        <v>14</v>
      </c>
      <c r="D297" s="11">
        <v>12.2</v>
      </c>
      <c r="E297" s="11">
        <v>10.6</v>
      </c>
      <c r="F297" s="11">
        <v>7.9</v>
      </c>
      <c r="G297" s="11">
        <v>7.9</v>
      </c>
      <c r="H297" s="11">
        <v>9.6</v>
      </c>
      <c r="I297" s="11">
        <v>5.0999999999999996</v>
      </c>
      <c r="J297" s="11">
        <v>5.5</v>
      </c>
      <c r="K297" s="11">
        <v>4.0999999999999996</v>
      </c>
      <c r="L297" s="11">
        <v>20.6</v>
      </c>
      <c r="M297" s="11">
        <v>21.2</v>
      </c>
      <c r="N297" s="11">
        <v>18.3</v>
      </c>
      <c r="O297" s="11">
        <v>15.8</v>
      </c>
      <c r="P297" s="11">
        <v>16.7</v>
      </c>
      <c r="Q297" s="11">
        <v>15.9</v>
      </c>
      <c r="R297" s="11">
        <v>14.5</v>
      </c>
      <c r="S297" s="11">
        <v>14</v>
      </c>
      <c r="T297" s="11">
        <v>13.9</v>
      </c>
      <c r="U297" s="11">
        <v>14.3</v>
      </c>
      <c r="W297" s="33" t="s">
        <v>294</v>
      </c>
      <c r="X297" s="33">
        <v>26</v>
      </c>
    </row>
    <row r="298" spans="1:24" x14ac:dyDescent="0.2">
      <c r="A298" s="6" t="s">
        <v>134</v>
      </c>
      <c r="B298" s="6">
        <v>15.8</v>
      </c>
      <c r="C298" s="6">
        <v>14</v>
      </c>
      <c r="D298" s="6">
        <v>12.2</v>
      </c>
      <c r="E298" s="6">
        <v>10.6</v>
      </c>
      <c r="F298" s="6">
        <v>7.9</v>
      </c>
      <c r="G298" s="6">
        <v>7.9</v>
      </c>
      <c r="H298" s="6">
        <v>9.6</v>
      </c>
      <c r="I298" s="6">
        <v>5.0999999999999996</v>
      </c>
      <c r="J298" s="6">
        <v>5.5</v>
      </c>
      <c r="K298" s="6">
        <v>4.0999999999999996</v>
      </c>
      <c r="L298" s="6">
        <v>20.6</v>
      </c>
      <c r="M298" s="6">
        <v>21.2</v>
      </c>
      <c r="N298" s="6">
        <v>18.3</v>
      </c>
      <c r="O298" s="6">
        <v>15.8</v>
      </c>
      <c r="P298" s="6">
        <v>16.7</v>
      </c>
      <c r="Q298" s="6">
        <v>15.9</v>
      </c>
      <c r="R298" s="6">
        <v>14.5</v>
      </c>
      <c r="S298" s="6">
        <v>14</v>
      </c>
      <c r="T298" s="6">
        <v>13.9</v>
      </c>
      <c r="U298" s="6">
        <v>14.3</v>
      </c>
      <c r="W298" s="35" t="s">
        <v>130</v>
      </c>
      <c r="X298" s="35">
        <v>539</v>
      </c>
    </row>
    <row r="299" spans="1:24" x14ac:dyDescent="0.2">
      <c r="A299" s="2" t="s">
        <v>136</v>
      </c>
      <c r="B299" s="15" t="s">
        <v>59</v>
      </c>
      <c r="C299" s="15" t="s">
        <v>59</v>
      </c>
      <c r="D299" s="15" t="s">
        <v>59</v>
      </c>
      <c r="E299" s="2">
        <v>0</v>
      </c>
      <c r="F299" s="9">
        <v>0</v>
      </c>
      <c r="G299" s="15" t="s">
        <v>59</v>
      </c>
      <c r="H299" s="2">
        <v>0</v>
      </c>
      <c r="I299" s="2">
        <v>0</v>
      </c>
      <c r="J299" s="15" t="s">
        <v>59</v>
      </c>
      <c r="K299" s="15" t="s">
        <v>59</v>
      </c>
      <c r="L299" s="15" t="s">
        <v>59</v>
      </c>
      <c r="M299" s="15" t="s">
        <v>59</v>
      </c>
      <c r="N299" s="15" t="s">
        <v>59</v>
      </c>
      <c r="O299" s="15" t="s">
        <v>59</v>
      </c>
      <c r="P299" s="15" t="s">
        <v>59</v>
      </c>
      <c r="Q299" s="15" t="s">
        <v>59</v>
      </c>
      <c r="R299" s="15" t="s">
        <v>59</v>
      </c>
      <c r="S299" s="15" t="s">
        <v>59</v>
      </c>
      <c r="T299" s="15" t="s">
        <v>59</v>
      </c>
      <c r="U299" s="15" t="s">
        <v>59</v>
      </c>
      <c r="W299" s="33"/>
      <c r="X299" s="33"/>
    </row>
    <row r="300" spans="1:24" x14ac:dyDescent="0.2">
      <c r="A300" s="6" t="s">
        <v>137</v>
      </c>
      <c r="B300" s="6">
        <v>3.9</v>
      </c>
      <c r="C300" s="6">
        <v>2.8</v>
      </c>
      <c r="D300" s="6">
        <v>1.7</v>
      </c>
      <c r="E300" s="6">
        <v>3</v>
      </c>
      <c r="F300" s="6">
        <v>1.6</v>
      </c>
      <c r="G300" s="6">
        <v>2</v>
      </c>
      <c r="H300" s="6">
        <v>1</v>
      </c>
      <c r="I300" s="6">
        <v>0.5</v>
      </c>
      <c r="J300" s="6">
        <v>0.5</v>
      </c>
      <c r="K300" s="6">
        <v>0.1</v>
      </c>
      <c r="L300" s="6">
        <v>16.899999999999999</v>
      </c>
      <c r="M300" s="6">
        <v>15.6</v>
      </c>
      <c r="N300" s="6">
        <v>15.3</v>
      </c>
      <c r="O300" s="6">
        <v>3.9</v>
      </c>
      <c r="P300" s="6">
        <v>11.1</v>
      </c>
      <c r="Q300" s="6">
        <v>12.5</v>
      </c>
      <c r="R300" s="6">
        <v>0</v>
      </c>
      <c r="S300" s="6">
        <v>2.8</v>
      </c>
      <c r="T300" s="6">
        <v>12.1</v>
      </c>
      <c r="U300" s="6">
        <v>0</v>
      </c>
      <c r="W300" s="33" t="s">
        <v>135</v>
      </c>
      <c r="X300" s="33"/>
    </row>
    <row r="301" spans="1:24" x14ac:dyDescent="0.2">
      <c r="A301" s="11" t="s">
        <v>112</v>
      </c>
      <c r="B301" s="11">
        <v>6</v>
      </c>
      <c r="C301" s="11">
        <v>5.4</v>
      </c>
      <c r="D301" s="11">
        <v>4.2</v>
      </c>
      <c r="E301" s="11">
        <v>3.9</v>
      </c>
      <c r="F301" s="11">
        <v>2.9</v>
      </c>
      <c r="G301" s="11">
        <v>2.2000000000000002</v>
      </c>
      <c r="H301" s="11">
        <v>1.7</v>
      </c>
      <c r="I301" s="11">
        <v>1.3</v>
      </c>
      <c r="J301" s="11">
        <v>0.8</v>
      </c>
      <c r="K301" s="11">
        <v>0.5</v>
      </c>
      <c r="L301" s="11">
        <v>6.3</v>
      </c>
      <c r="M301" s="11">
        <v>6</v>
      </c>
      <c r="N301" s="11">
        <v>5.3</v>
      </c>
      <c r="O301" s="11">
        <v>6</v>
      </c>
      <c r="P301" s="11">
        <v>5.0999999999999996</v>
      </c>
      <c r="Q301" s="11">
        <v>5.2</v>
      </c>
      <c r="R301" s="11">
        <v>5.0999999999999996</v>
      </c>
      <c r="S301" s="11">
        <v>5.4</v>
      </c>
      <c r="T301" s="11">
        <v>4.5999999999999996</v>
      </c>
      <c r="U301" s="11">
        <v>4.7</v>
      </c>
      <c r="W301" s="34" t="s">
        <v>1</v>
      </c>
      <c r="X301" s="34" t="s">
        <v>7</v>
      </c>
    </row>
    <row r="302" spans="1:24" x14ac:dyDescent="0.2">
      <c r="A302" s="6" t="s">
        <v>140</v>
      </c>
      <c r="B302" s="6">
        <v>6</v>
      </c>
      <c r="C302" s="6">
        <v>5.4</v>
      </c>
      <c r="D302" s="6">
        <v>4.2</v>
      </c>
      <c r="E302" s="6">
        <v>3.9</v>
      </c>
      <c r="F302" s="6">
        <v>2.9</v>
      </c>
      <c r="G302" s="6">
        <v>2.2000000000000002</v>
      </c>
      <c r="H302" s="6">
        <v>1.7</v>
      </c>
      <c r="I302" s="6">
        <v>1.3</v>
      </c>
      <c r="J302" s="6">
        <v>0.8</v>
      </c>
      <c r="K302" s="6">
        <v>0.5</v>
      </c>
      <c r="L302" s="6">
        <v>6.3</v>
      </c>
      <c r="M302" s="6">
        <v>6</v>
      </c>
      <c r="N302" s="6">
        <v>5.3</v>
      </c>
      <c r="O302" s="6">
        <v>6</v>
      </c>
      <c r="P302" s="6">
        <v>5.0999999999999996</v>
      </c>
      <c r="Q302" s="6">
        <v>5.2</v>
      </c>
      <c r="R302" s="6">
        <v>5.0999999999999996</v>
      </c>
      <c r="S302" s="6">
        <v>5.4</v>
      </c>
      <c r="T302" s="6">
        <v>4.5999999999999996</v>
      </c>
      <c r="U302" s="6">
        <v>4.7</v>
      </c>
      <c r="W302" s="35" t="s">
        <v>138</v>
      </c>
      <c r="X302" s="35">
        <v>151</v>
      </c>
    </row>
    <row r="303" spans="1:24" x14ac:dyDescent="0.2">
      <c r="A303" s="11" t="s">
        <v>142</v>
      </c>
      <c r="B303" s="11">
        <v>21.8</v>
      </c>
      <c r="C303" s="11">
        <v>19</v>
      </c>
      <c r="D303" s="11">
        <v>14.7</v>
      </c>
      <c r="E303" s="11">
        <v>9.8000000000000007</v>
      </c>
      <c r="F303" s="11">
        <v>7.1</v>
      </c>
      <c r="G303" s="11">
        <v>1.9</v>
      </c>
      <c r="H303" s="11">
        <v>1.9</v>
      </c>
      <c r="I303" s="11">
        <v>1.7</v>
      </c>
      <c r="J303" s="11">
        <v>1.7</v>
      </c>
      <c r="K303" s="11">
        <v>3.1</v>
      </c>
      <c r="L303" s="11">
        <v>13.2</v>
      </c>
      <c r="M303" s="11">
        <v>11.2</v>
      </c>
      <c r="N303" s="11">
        <v>12.8</v>
      </c>
      <c r="O303" s="11">
        <v>21.8</v>
      </c>
      <c r="P303" s="11">
        <v>10.199999999999999</v>
      </c>
      <c r="Q303" s="11">
        <v>7.7</v>
      </c>
      <c r="R303" s="11">
        <v>21.9</v>
      </c>
      <c r="S303" s="11">
        <v>19</v>
      </c>
      <c r="T303" s="11">
        <v>7.6</v>
      </c>
      <c r="U303" s="11">
        <v>15.3</v>
      </c>
      <c r="W303" s="33" t="s">
        <v>139</v>
      </c>
      <c r="X303" s="38" t="s">
        <v>59</v>
      </c>
    </row>
    <row r="304" spans="1:24" x14ac:dyDescent="0.2">
      <c r="A304" s="6" t="s">
        <v>144</v>
      </c>
      <c r="B304" s="16" t="s">
        <v>59</v>
      </c>
      <c r="C304" s="16" t="s">
        <v>59</v>
      </c>
      <c r="D304" s="16" t="s">
        <v>59</v>
      </c>
      <c r="E304" s="16" t="s">
        <v>59</v>
      </c>
      <c r="F304" s="16" t="s">
        <v>59</v>
      </c>
      <c r="G304" s="16" t="s">
        <v>59</v>
      </c>
      <c r="H304" s="16" t="s">
        <v>59</v>
      </c>
      <c r="I304" s="16" t="s">
        <v>59</v>
      </c>
      <c r="J304" s="16" t="s">
        <v>59</v>
      </c>
      <c r="K304" s="16" t="s">
        <v>59</v>
      </c>
      <c r="L304" s="6">
        <v>12.3</v>
      </c>
      <c r="M304" s="6">
        <v>10.4</v>
      </c>
      <c r="N304" s="6">
        <v>12</v>
      </c>
      <c r="O304" s="16" t="s">
        <v>59</v>
      </c>
      <c r="P304" s="6">
        <v>9.3000000000000007</v>
      </c>
      <c r="Q304" s="6">
        <v>6.3</v>
      </c>
      <c r="R304" s="16" t="s">
        <v>59</v>
      </c>
      <c r="S304" s="16" t="s">
        <v>59</v>
      </c>
      <c r="T304" s="6">
        <v>6.7</v>
      </c>
      <c r="U304" s="16" t="s">
        <v>59</v>
      </c>
      <c r="W304" s="35" t="s">
        <v>141</v>
      </c>
      <c r="X304" s="35">
        <v>63</v>
      </c>
    </row>
    <row r="305" spans="1:24" x14ac:dyDescent="0.2">
      <c r="A305" s="2" t="s">
        <v>146</v>
      </c>
      <c r="B305" s="2">
        <v>21.8</v>
      </c>
      <c r="C305" s="2">
        <v>19</v>
      </c>
      <c r="D305" s="2">
        <v>14.7</v>
      </c>
      <c r="E305" s="2">
        <v>9.8000000000000007</v>
      </c>
      <c r="F305" s="2">
        <v>7.1</v>
      </c>
      <c r="G305" s="2">
        <v>1.9</v>
      </c>
      <c r="H305" s="2">
        <v>1.9</v>
      </c>
      <c r="I305" s="2">
        <v>1.7</v>
      </c>
      <c r="J305" s="2">
        <v>1.7</v>
      </c>
      <c r="K305" s="2">
        <v>3.1</v>
      </c>
      <c r="L305" s="2">
        <v>0.8</v>
      </c>
      <c r="M305" s="2">
        <v>0.8</v>
      </c>
      <c r="N305" s="2">
        <v>0.8</v>
      </c>
      <c r="O305" s="2">
        <v>21.8</v>
      </c>
      <c r="P305" s="2">
        <v>0.9</v>
      </c>
      <c r="Q305" s="2">
        <v>1.4</v>
      </c>
      <c r="R305" s="2">
        <v>21.9</v>
      </c>
      <c r="S305" s="2">
        <v>19</v>
      </c>
      <c r="T305" s="2">
        <v>0.9</v>
      </c>
      <c r="U305" s="2">
        <v>15.3</v>
      </c>
      <c r="W305" s="33" t="s">
        <v>143</v>
      </c>
      <c r="X305" s="33">
        <v>206</v>
      </c>
    </row>
    <row r="306" spans="1:24" x14ac:dyDescent="0.2">
      <c r="A306" s="7" t="s">
        <v>148</v>
      </c>
      <c r="B306" s="7">
        <v>368.2</v>
      </c>
      <c r="C306" s="7">
        <v>334.4</v>
      </c>
      <c r="D306" s="7">
        <v>344</v>
      </c>
      <c r="E306" s="7">
        <v>409.7</v>
      </c>
      <c r="F306" s="7">
        <v>203.2</v>
      </c>
      <c r="G306" s="7">
        <v>87.7</v>
      </c>
      <c r="H306" s="7">
        <v>101.1</v>
      </c>
      <c r="I306" s="7">
        <v>93.2</v>
      </c>
      <c r="J306" s="7">
        <v>83.9</v>
      </c>
      <c r="K306" s="7">
        <v>78.900000000000006</v>
      </c>
      <c r="L306" s="7">
        <v>414.8</v>
      </c>
      <c r="M306" s="7">
        <v>390.8</v>
      </c>
      <c r="N306" s="7">
        <v>364.6</v>
      </c>
      <c r="O306" s="7">
        <v>368.2</v>
      </c>
      <c r="P306" s="7">
        <v>354</v>
      </c>
      <c r="Q306" s="7">
        <v>345.7</v>
      </c>
      <c r="R306" s="7">
        <v>326.2</v>
      </c>
      <c r="S306" s="7">
        <v>334.4</v>
      </c>
      <c r="T306" s="7">
        <v>323.2</v>
      </c>
      <c r="U306" s="7">
        <v>329.5</v>
      </c>
      <c r="W306" s="35" t="s">
        <v>145</v>
      </c>
      <c r="X306" s="36">
        <v>-152</v>
      </c>
    </row>
    <row r="307" spans="1:24" x14ac:dyDescent="0.2">
      <c r="A307" s="2" t="s">
        <v>35</v>
      </c>
      <c r="B307" s="2">
        <v>10.1</v>
      </c>
      <c r="C307" s="9">
        <v>-2.78</v>
      </c>
      <c r="D307" s="9">
        <v>-16.03</v>
      </c>
      <c r="E307" s="2">
        <v>101.63</v>
      </c>
      <c r="F307" s="2">
        <v>131.75</v>
      </c>
      <c r="G307" s="9">
        <v>-13.3</v>
      </c>
      <c r="H307" s="2">
        <v>8.5</v>
      </c>
      <c r="I307" s="2">
        <v>11.03</v>
      </c>
      <c r="J307" s="2">
        <v>6.35</v>
      </c>
      <c r="K307" s="2">
        <v>893.51</v>
      </c>
      <c r="L307" s="2">
        <v>17.16</v>
      </c>
      <c r="M307" s="2">
        <v>13.06</v>
      </c>
      <c r="N307" s="2">
        <v>11.78</v>
      </c>
      <c r="O307" s="2">
        <v>10.1</v>
      </c>
      <c r="P307" s="2">
        <v>9.52</v>
      </c>
      <c r="Q307" s="2">
        <v>4.9000000000000004</v>
      </c>
      <c r="R307" s="9">
        <v>-1.18</v>
      </c>
      <c r="S307" s="9">
        <v>-2.78</v>
      </c>
      <c r="T307" s="9">
        <v>-11.94</v>
      </c>
      <c r="U307" s="9">
        <v>-14.98</v>
      </c>
      <c r="W307" s="46" t="s">
        <v>147</v>
      </c>
      <c r="X307" s="46">
        <v>-16</v>
      </c>
    </row>
    <row r="308" spans="1:24" x14ac:dyDescent="0.2">
      <c r="A308" s="6" t="s">
        <v>150</v>
      </c>
      <c r="B308" s="6">
        <v>21.64</v>
      </c>
      <c r="C308" s="6">
        <v>20.77</v>
      </c>
      <c r="D308" s="6">
        <v>22.7</v>
      </c>
      <c r="E308" s="6">
        <v>28.05</v>
      </c>
      <c r="F308" s="6">
        <v>17.690000000000001</v>
      </c>
      <c r="G308" s="6">
        <v>9.01</v>
      </c>
      <c r="H308" s="6">
        <v>16.52</v>
      </c>
      <c r="I308" s="6">
        <v>19.78</v>
      </c>
      <c r="J308" s="6">
        <v>15.59</v>
      </c>
      <c r="K308" s="6">
        <v>20.78</v>
      </c>
      <c r="L308" s="6">
        <v>22.7</v>
      </c>
      <c r="M308" s="6">
        <v>22.02</v>
      </c>
      <c r="N308" s="6">
        <v>21.11</v>
      </c>
      <c r="O308" s="6">
        <v>21.64</v>
      </c>
      <c r="P308" s="6">
        <v>21.13</v>
      </c>
      <c r="Q308" s="6">
        <v>20.8</v>
      </c>
      <c r="R308" s="6">
        <v>20.149999999999999</v>
      </c>
      <c r="S308" s="6">
        <v>20.77</v>
      </c>
      <c r="T308" s="6">
        <v>20.66</v>
      </c>
      <c r="U308" s="6">
        <v>21.5</v>
      </c>
      <c r="W308" s="35" t="s">
        <v>149</v>
      </c>
      <c r="X308" s="39" t="s">
        <v>59</v>
      </c>
    </row>
    <row r="309" spans="1:24" x14ac:dyDescent="0.2">
      <c r="A309" s="11" t="s">
        <v>151</v>
      </c>
      <c r="B309" s="11">
        <v>976.2</v>
      </c>
      <c r="C309" s="11">
        <v>929.3</v>
      </c>
      <c r="D309" s="11">
        <v>834.5</v>
      </c>
      <c r="E309" s="11">
        <v>736.7</v>
      </c>
      <c r="F309" s="11">
        <v>642.9</v>
      </c>
      <c r="G309" s="11">
        <v>589.29999999999995</v>
      </c>
      <c r="H309" s="11">
        <v>261.89999999999998</v>
      </c>
      <c r="I309" s="11">
        <v>187.1</v>
      </c>
      <c r="J309" s="11">
        <v>136.30000000000001</v>
      </c>
      <c r="K309" s="11">
        <v>93</v>
      </c>
      <c r="L309" s="12">
        <v>1066.2</v>
      </c>
      <c r="M309" s="12">
        <v>1030.9000000000001</v>
      </c>
      <c r="N309" s="12">
        <v>1005</v>
      </c>
      <c r="O309" s="11">
        <v>976.2</v>
      </c>
      <c r="P309" s="11">
        <v>964.5</v>
      </c>
      <c r="Q309" s="11">
        <v>964.8</v>
      </c>
      <c r="R309" s="11">
        <v>947.9</v>
      </c>
      <c r="S309" s="11">
        <v>929.3</v>
      </c>
      <c r="T309" s="11">
        <v>923.4</v>
      </c>
      <c r="U309" s="11">
        <v>885.5</v>
      </c>
      <c r="W309" s="33"/>
      <c r="X309" s="33"/>
    </row>
    <row r="310" spans="1:24" x14ac:dyDescent="0.2">
      <c r="A310" s="7" t="s">
        <v>152</v>
      </c>
      <c r="B310" s="8">
        <v>1433.4</v>
      </c>
      <c r="C310" s="8">
        <v>1306.0999999999999</v>
      </c>
      <c r="D310" s="8">
        <v>1124.9000000000001</v>
      </c>
      <c r="E310" s="7">
        <v>959.4</v>
      </c>
      <c r="F310" s="7">
        <v>809</v>
      </c>
      <c r="G310" s="7">
        <v>711.1</v>
      </c>
      <c r="H310" s="7">
        <v>347.3</v>
      </c>
      <c r="I310" s="7">
        <v>245.4</v>
      </c>
      <c r="J310" s="7">
        <v>173.4</v>
      </c>
      <c r="K310" s="7">
        <v>116.6</v>
      </c>
      <c r="L310" s="8">
        <v>1595.8</v>
      </c>
      <c r="M310" s="8">
        <v>1537</v>
      </c>
      <c r="N310" s="8">
        <v>1486.8</v>
      </c>
      <c r="O310" s="8">
        <v>1433.4</v>
      </c>
      <c r="P310" s="8">
        <v>1406.9</v>
      </c>
      <c r="Q310" s="8">
        <v>1390.2</v>
      </c>
      <c r="R310" s="8">
        <v>1349</v>
      </c>
      <c r="S310" s="8">
        <v>1306.0999999999999</v>
      </c>
      <c r="T310" s="8">
        <v>1276.7</v>
      </c>
      <c r="U310" s="8">
        <v>1217</v>
      </c>
      <c r="W310" s="33" t="s">
        <v>93</v>
      </c>
      <c r="X310" s="33"/>
    </row>
    <row r="311" spans="1:24" x14ac:dyDescent="0.2">
      <c r="A311" s="2" t="s">
        <v>153</v>
      </c>
      <c r="B311" s="15" t="s">
        <v>59</v>
      </c>
      <c r="C311" s="15" t="s">
        <v>59</v>
      </c>
      <c r="D311" s="15" t="s">
        <v>59</v>
      </c>
      <c r="E311" s="15" t="s">
        <v>59</v>
      </c>
      <c r="F311" s="15" t="s">
        <v>59</v>
      </c>
      <c r="G311" s="15" t="s">
        <v>59</v>
      </c>
      <c r="H311" s="2">
        <v>15.6</v>
      </c>
      <c r="I311" s="2">
        <v>7.5</v>
      </c>
      <c r="J311" s="15" t="s">
        <v>59</v>
      </c>
      <c r="K311" s="15" t="s">
        <v>59</v>
      </c>
      <c r="L311" s="15" t="s">
        <v>59</v>
      </c>
      <c r="M311" s="15" t="s">
        <v>59</v>
      </c>
      <c r="N311" s="15" t="s">
        <v>59</v>
      </c>
      <c r="O311" s="15" t="s">
        <v>59</v>
      </c>
      <c r="P311" s="15" t="s">
        <v>59</v>
      </c>
      <c r="Q311" s="15" t="s">
        <v>59</v>
      </c>
      <c r="R311" s="15" t="s">
        <v>59</v>
      </c>
      <c r="S311" s="15" t="s">
        <v>59</v>
      </c>
      <c r="T311" s="15" t="s">
        <v>59</v>
      </c>
      <c r="U311" s="15" t="s">
        <v>59</v>
      </c>
      <c r="W311" s="34" t="s">
        <v>1</v>
      </c>
      <c r="X311" s="34" t="s">
        <v>7</v>
      </c>
    </row>
    <row r="312" spans="1:24" x14ac:dyDescent="0.2">
      <c r="A312" s="6" t="s">
        <v>155</v>
      </c>
      <c r="B312" s="6">
        <v>116.6</v>
      </c>
      <c r="C312" s="6">
        <v>98.8</v>
      </c>
      <c r="D312" s="6">
        <v>77.7</v>
      </c>
      <c r="E312" s="6">
        <v>68.7</v>
      </c>
      <c r="F312" s="6">
        <v>60.1</v>
      </c>
      <c r="G312" s="6">
        <v>54.4</v>
      </c>
      <c r="H312" s="6">
        <v>40.700000000000003</v>
      </c>
      <c r="I312" s="6">
        <v>31.6</v>
      </c>
      <c r="J312" s="6">
        <v>23.2</v>
      </c>
      <c r="K312" s="6">
        <v>16.899999999999999</v>
      </c>
      <c r="L312" s="16" t="s">
        <v>59</v>
      </c>
      <c r="M312" s="16" t="s">
        <v>59</v>
      </c>
      <c r="N312" s="16" t="s">
        <v>59</v>
      </c>
      <c r="O312" s="6">
        <v>116.6</v>
      </c>
      <c r="P312" s="16" t="s">
        <v>59</v>
      </c>
      <c r="Q312" s="16" t="s">
        <v>59</v>
      </c>
      <c r="R312" s="16" t="s">
        <v>59</v>
      </c>
      <c r="S312" s="6">
        <v>98.8</v>
      </c>
      <c r="T312" s="16" t="s">
        <v>59</v>
      </c>
      <c r="U312" s="16" t="s">
        <v>59</v>
      </c>
      <c r="W312" s="35" t="s">
        <v>10</v>
      </c>
      <c r="X312" s="35">
        <v>1.33</v>
      </c>
    </row>
    <row r="313" spans="1:24" x14ac:dyDescent="0.2">
      <c r="A313" s="2" t="s">
        <v>157</v>
      </c>
      <c r="B313" s="2">
        <v>40</v>
      </c>
      <c r="C313" s="2">
        <v>56.5</v>
      </c>
      <c r="D313" s="2">
        <v>71.099999999999994</v>
      </c>
      <c r="E313" s="2">
        <v>47.3</v>
      </c>
      <c r="F313" s="2">
        <v>39.6</v>
      </c>
      <c r="G313" s="2">
        <v>30.3</v>
      </c>
      <c r="H313" s="2">
        <v>29.5</v>
      </c>
      <c r="I313" s="2">
        <v>16.5</v>
      </c>
      <c r="J313" s="2">
        <v>13.5</v>
      </c>
      <c r="K313" s="2">
        <v>6.6</v>
      </c>
      <c r="L313" s="15" t="s">
        <v>59</v>
      </c>
      <c r="M313" s="15" t="s">
        <v>59</v>
      </c>
      <c r="N313" s="15" t="s">
        <v>59</v>
      </c>
      <c r="O313" s="2">
        <v>40</v>
      </c>
      <c r="P313" s="15" t="s">
        <v>59</v>
      </c>
      <c r="Q313" s="15" t="s">
        <v>59</v>
      </c>
      <c r="R313" s="15" t="s">
        <v>59</v>
      </c>
      <c r="S313" s="2">
        <v>56.5</v>
      </c>
      <c r="T313" s="15" t="s">
        <v>59</v>
      </c>
      <c r="U313" s="15" t="s">
        <v>59</v>
      </c>
      <c r="W313" s="33" t="s">
        <v>29</v>
      </c>
      <c r="X313" s="33">
        <v>1.24</v>
      </c>
    </row>
    <row r="314" spans="1:24" x14ac:dyDescent="0.2">
      <c r="A314" s="6" t="s">
        <v>295</v>
      </c>
      <c r="B314" s="6">
        <v>19.600000000000001</v>
      </c>
      <c r="C314" s="6">
        <v>25.1</v>
      </c>
      <c r="D314" s="6">
        <v>16.2</v>
      </c>
      <c r="E314" s="6">
        <v>13.7</v>
      </c>
      <c r="F314" s="6">
        <v>9.6</v>
      </c>
      <c r="G314" s="6">
        <v>7.4</v>
      </c>
      <c r="H314" s="16" t="s">
        <v>59</v>
      </c>
      <c r="I314" s="16" t="s">
        <v>59</v>
      </c>
      <c r="J314" s="16" t="s">
        <v>59</v>
      </c>
      <c r="K314" s="16" t="s">
        <v>59</v>
      </c>
      <c r="L314" s="16" t="s">
        <v>59</v>
      </c>
      <c r="M314" s="16" t="s">
        <v>59</v>
      </c>
      <c r="N314" s="16" t="s">
        <v>59</v>
      </c>
      <c r="O314" s="6">
        <v>19.600000000000001</v>
      </c>
      <c r="P314" s="16" t="s">
        <v>59</v>
      </c>
      <c r="Q314" s="16" t="s">
        <v>59</v>
      </c>
      <c r="R314" s="16" t="s">
        <v>59</v>
      </c>
      <c r="S314" s="6">
        <v>25.1</v>
      </c>
      <c r="T314" s="16" t="s">
        <v>59</v>
      </c>
      <c r="U314" s="16" t="s">
        <v>59</v>
      </c>
      <c r="W314" s="35" t="s">
        <v>31</v>
      </c>
      <c r="X314" s="35">
        <v>1.33</v>
      </c>
    </row>
    <row r="315" spans="1:24" x14ac:dyDescent="0.2">
      <c r="A315" s="2" t="s">
        <v>296</v>
      </c>
      <c r="B315" s="2">
        <v>122.4</v>
      </c>
      <c r="C315" s="2">
        <v>101.8</v>
      </c>
      <c r="D315" s="2">
        <v>70.7</v>
      </c>
      <c r="E315" s="2">
        <v>44.8</v>
      </c>
      <c r="F315" s="2">
        <v>30.5</v>
      </c>
      <c r="G315" s="2">
        <v>24.2</v>
      </c>
      <c r="H315" s="2">
        <v>19</v>
      </c>
      <c r="I315" s="2">
        <v>12.7</v>
      </c>
      <c r="J315" s="2">
        <v>8.6999999999999993</v>
      </c>
      <c r="K315" s="2">
        <v>5.2</v>
      </c>
      <c r="L315" s="15" t="s">
        <v>59</v>
      </c>
      <c r="M315" s="15" t="s">
        <v>59</v>
      </c>
      <c r="N315" s="15" t="s">
        <v>59</v>
      </c>
      <c r="O315" s="2">
        <v>122.4</v>
      </c>
      <c r="P315" s="15" t="s">
        <v>59</v>
      </c>
      <c r="Q315" s="15" t="s">
        <v>59</v>
      </c>
      <c r="R315" s="15" t="s">
        <v>59</v>
      </c>
      <c r="S315" s="2">
        <v>101.8</v>
      </c>
      <c r="T315" s="15" t="s">
        <v>59</v>
      </c>
      <c r="U315" s="15" t="s">
        <v>59</v>
      </c>
      <c r="W315" s="33" t="s">
        <v>156</v>
      </c>
      <c r="X315" s="33">
        <v>0</v>
      </c>
    </row>
    <row r="316" spans="1:24" x14ac:dyDescent="0.2">
      <c r="A316" s="6" t="s">
        <v>159</v>
      </c>
      <c r="B316" s="6">
        <v>710.2</v>
      </c>
      <c r="C316" s="6">
        <v>625.5</v>
      </c>
      <c r="D316" s="6">
        <v>521.70000000000005</v>
      </c>
      <c r="E316" s="6">
        <v>437.6</v>
      </c>
      <c r="F316" s="6">
        <v>362.9</v>
      </c>
      <c r="G316" s="6">
        <v>320.3</v>
      </c>
      <c r="H316" s="6">
        <v>242.5</v>
      </c>
      <c r="I316" s="6">
        <v>177.1</v>
      </c>
      <c r="J316" s="6">
        <v>128</v>
      </c>
      <c r="K316" s="6">
        <v>87.9</v>
      </c>
      <c r="L316" s="16" t="s">
        <v>59</v>
      </c>
      <c r="M316" s="16" t="s">
        <v>59</v>
      </c>
      <c r="N316" s="16" t="s">
        <v>59</v>
      </c>
      <c r="O316" s="6">
        <v>710.2</v>
      </c>
      <c r="P316" s="16" t="s">
        <v>59</v>
      </c>
      <c r="Q316" s="16" t="s">
        <v>59</v>
      </c>
      <c r="R316" s="16" t="s">
        <v>59</v>
      </c>
      <c r="S316" s="6">
        <v>625.5</v>
      </c>
      <c r="T316" s="16" t="s">
        <v>59</v>
      </c>
      <c r="U316" s="16" t="s">
        <v>59</v>
      </c>
      <c r="W316" s="35" t="s">
        <v>158</v>
      </c>
      <c r="X316" s="35">
        <v>1.25</v>
      </c>
    </row>
    <row r="317" spans="1:24" x14ac:dyDescent="0.2">
      <c r="A317" s="2" t="s">
        <v>161</v>
      </c>
      <c r="B317" s="2">
        <v>424.6</v>
      </c>
      <c r="C317" s="2">
        <v>398.3</v>
      </c>
      <c r="D317" s="2">
        <v>367.5</v>
      </c>
      <c r="E317" s="2">
        <v>347.3</v>
      </c>
      <c r="F317" s="2">
        <v>306.3</v>
      </c>
      <c r="G317" s="2">
        <v>274.39999999999998</v>
      </c>
      <c r="H317" s="15" t="s">
        <v>59</v>
      </c>
      <c r="I317" s="15" t="s">
        <v>59</v>
      </c>
      <c r="J317" s="15" t="s">
        <v>59</v>
      </c>
      <c r="K317" s="15" t="s">
        <v>59</v>
      </c>
      <c r="L317" s="2">
        <v>468.1</v>
      </c>
      <c r="M317" s="2">
        <v>453.8</v>
      </c>
      <c r="N317" s="2">
        <v>442.7</v>
      </c>
      <c r="O317" s="2">
        <v>424.6</v>
      </c>
      <c r="P317" s="2">
        <v>419.6</v>
      </c>
      <c r="Q317" s="2">
        <v>419.5</v>
      </c>
      <c r="R317" s="2">
        <v>410.3</v>
      </c>
      <c r="S317" s="2">
        <v>398.3</v>
      </c>
      <c r="T317" s="2">
        <v>397.9</v>
      </c>
      <c r="U317" s="2">
        <v>385.4</v>
      </c>
      <c r="W317" s="33" t="s">
        <v>160</v>
      </c>
      <c r="X317" s="33">
        <v>4.76</v>
      </c>
    </row>
    <row r="318" spans="1:24" x14ac:dyDescent="0.2">
      <c r="A318" s="6" t="s">
        <v>163</v>
      </c>
      <c r="B318" s="6">
        <v>457.2</v>
      </c>
      <c r="C318" s="6">
        <v>376.8</v>
      </c>
      <c r="D318" s="6">
        <v>290.39999999999998</v>
      </c>
      <c r="E318" s="6">
        <v>222.8</v>
      </c>
      <c r="F318" s="6">
        <v>166.2</v>
      </c>
      <c r="G318" s="6">
        <v>121.8</v>
      </c>
      <c r="H318" s="6">
        <v>85.4</v>
      </c>
      <c r="I318" s="6">
        <v>58.3</v>
      </c>
      <c r="J318" s="6">
        <v>37.1</v>
      </c>
      <c r="K318" s="6">
        <v>23.5</v>
      </c>
      <c r="L318" s="6">
        <v>529.6</v>
      </c>
      <c r="M318" s="6">
        <v>506.1</v>
      </c>
      <c r="N318" s="6">
        <v>481.9</v>
      </c>
      <c r="O318" s="6">
        <v>457.2</v>
      </c>
      <c r="P318" s="6">
        <v>442.4</v>
      </c>
      <c r="Q318" s="6">
        <v>425.4</v>
      </c>
      <c r="R318" s="6">
        <v>401.1</v>
      </c>
      <c r="S318" s="6">
        <v>376.8</v>
      </c>
      <c r="T318" s="6">
        <v>353.3</v>
      </c>
      <c r="U318" s="16" t="s">
        <v>59</v>
      </c>
      <c r="W318" s="35" t="s">
        <v>162</v>
      </c>
      <c r="X318" s="35">
        <v>12.7</v>
      </c>
    </row>
    <row r="319" spans="1:24" x14ac:dyDescent="0.2">
      <c r="A319" s="11" t="s">
        <v>165</v>
      </c>
      <c r="B319" s="11">
        <v>0</v>
      </c>
      <c r="C319" s="11">
        <v>0</v>
      </c>
      <c r="D319" s="11">
        <v>0</v>
      </c>
      <c r="E319" s="11">
        <v>0</v>
      </c>
      <c r="F319" s="11">
        <v>0</v>
      </c>
      <c r="G319" s="11">
        <v>0</v>
      </c>
      <c r="H319" s="11">
        <v>0</v>
      </c>
      <c r="I319" s="11">
        <v>0</v>
      </c>
      <c r="J319" s="11">
        <v>0.6</v>
      </c>
      <c r="K319" s="11">
        <v>2.1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1">
        <v>0</v>
      </c>
      <c r="R319" s="11">
        <v>0</v>
      </c>
      <c r="S319" s="11">
        <v>0</v>
      </c>
      <c r="T319" s="11">
        <v>0</v>
      </c>
      <c r="U319" s="11">
        <v>0</v>
      </c>
      <c r="W319" s="33" t="s">
        <v>164</v>
      </c>
      <c r="X319" s="38" t="s">
        <v>59</v>
      </c>
    </row>
    <row r="320" spans="1:24" x14ac:dyDescent="0.2">
      <c r="A320" s="6" t="s">
        <v>168</v>
      </c>
      <c r="B320" s="6">
        <v>0</v>
      </c>
      <c r="C320" s="6">
        <v>0</v>
      </c>
      <c r="D320" s="6">
        <v>0</v>
      </c>
      <c r="E320" s="6">
        <v>0</v>
      </c>
      <c r="F320" s="6">
        <v>0</v>
      </c>
      <c r="G320" s="6">
        <v>0</v>
      </c>
      <c r="H320" s="6">
        <v>0</v>
      </c>
      <c r="I320" s="6">
        <v>0</v>
      </c>
      <c r="J320" s="6">
        <v>0.6</v>
      </c>
      <c r="K320" s="6">
        <v>2.1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W320" s="33"/>
      <c r="X320" s="33"/>
    </row>
    <row r="321" spans="1:24" x14ac:dyDescent="0.2">
      <c r="A321" s="11" t="s">
        <v>169</v>
      </c>
      <c r="B321" s="11">
        <v>2</v>
      </c>
      <c r="C321" s="11">
        <v>1.9</v>
      </c>
      <c r="D321" s="11">
        <v>1.8</v>
      </c>
      <c r="E321" s="11">
        <v>1.5</v>
      </c>
      <c r="F321" s="11">
        <v>1.4</v>
      </c>
      <c r="G321" s="11">
        <v>1.4</v>
      </c>
      <c r="H321" s="11">
        <v>1.2</v>
      </c>
      <c r="I321" s="11">
        <v>0.9</v>
      </c>
      <c r="J321" s="11">
        <v>0.7</v>
      </c>
      <c r="K321" s="11">
        <v>0.7</v>
      </c>
      <c r="L321" s="17" t="s">
        <v>59</v>
      </c>
      <c r="M321" s="17" t="s">
        <v>59</v>
      </c>
      <c r="N321" s="17" t="s">
        <v>59</v>
      </c>
      <c r="O321" s="11">
        <v>2</v>
      </c>
      <c r="P321" s="17" t="s">
        <v>59</v>
      </c>
      <c r="Q321" s="17" t="s">
        <v>59</v>
      </c>
      <c r="R321" s="17" t="s">
        <v>59</v>
      </c>
      <c r="S321" s="11">
        <v>1.9</v>
      </c>
      <c r="T321" s="17" t="s">
        <v>59</v>
      </c>
      <c r="U321" s="17" t="s">
        <v>59</v>
      </c>
      <c r="W321" s="33" t="s">
        <v>167</v>
      </c>
      <c r="X321" s="33"/>
    </row>
    <row r="322" spans="1:24" x14ac:dyDescent="0.2">
      <c r="A322" s="6" t="s">
        <v>297</v>
      </c>
      <c r="B322" s="6">
        <v>2</v>
      </c>
      <c r="C322" s="6">
        <v>1.9</v>
      </c>
      <c r="D322" s="6">
        <v>1.8</v>
      </c>
      <c r="E322" s="6">
        <v>1.5</v>
      </c>
      <c r="F322" s="6">
        <v>1.4</v>
      </c>
      <c r="G322" s="6">
        <v>1.4</v>
      </c>
      <c r="H322" s="6">
        <v>1.2</v>
      </c>
      <c r="I322" s="6">
        <v>0.9</v>
      </c>
      <c r="J322" s="6">
        <v>0.7</v>
      </c>
      <c r="K322" s="6">
        <v>0.7</v>
      </c>
      <c r="L322" s="16" t="s">
        <v>59</v>
      </c>
      <c r="M322" s="16" t="s">
        <v>59</v>
      </c>
      <c r="N322" s="16" t="s">
        <v>59</v>
      </c>
      <c r="O322" s="6">
        <v>2</v>
      </c>
      <c r="P322" s="16" t="s">
        <v>59</v>
      </c>
      <c r="Q322" s="16" t="s">
        <v>59</v>
      </c>
      <c r="R322" s="16" t="s">
        <v>59</v>
      </c>
      <c r="S322" s="6">
        <v>1.9</v>
      </c>
      <c r="T322" s="16" t="s">
        <v>59</v>
      </c>
      <c r="U322" s="16" t="s">
        <v>59</v>
      </c>
      <c r="W322" s="34" t="s">
        <v>1</v>
      </c>
      <c r="X322" s="34" t="s">
        <v>7</v>
      </c>
    </row>
    <row r="323" spans="1:24" x14ac:dyDescent="0.2">
      <c r="A323" s="2" t="s">
        <v>173</v>
      </c>
      <c r="B323" s="2">
        <v>346.4</v>
      </c>
      <c r="C323" s="2">
        <v>330.7</v>
      </c>
      <c r="D323" s="2">
        <v>321.3</v>
      </c>
      <c r="E323" s="2">
        <v>301.89999999999998</v>
      </c>
      <c r="F323" s="2">
        <v>290.2</v>
      </c>
      <c r="G323" s="2">
        <v>284.39999999999998</v>
      </c>
      <c r="H323" s="2">
        <v>244</v>
      </c>
      <c r="I323" s="2">
        <v>186.6</v>
      </c>
      <c r="J323" s="2">
        <v>313.60000000000002</v>
      </c>
      <c r="K323" s="2">
        <v>202.3</v>
      </c>
      <c r="L323" s="2">
        <v>335</v>
      </c>
      <c r="M323" s="2">
        <v>340.9</v>
      </c>
      <c r="N323" s="2">
        <v>345.7</v>
      </c>
      <c r="O323" s="2">
        <v>346.4</v>
      </c>
      <c r="P323" s="2">
        <v>344.5</v>
      </c>
      <c r="Q323" s="2">
        <v>338.5</v>
      </c>
      <c r="R323" s="2">
        <v>330</v>
      </c>
      <c r="S323" s="2">
        <v>330.7</v>
      </c>
      <c r="T323" s="2">
        <v>302.2</v>
      </c>
      <c r="U323" s="2">
        <v>302</v>
      </c>
      <c r="W323" s="35" t="s">
        <v>170</v>
      </c>
      <c r="X323" s="35">
        <v>66.400000000000006</v>
      </c>
    </row>
    <row r="324" spans="1:24" x14ac:dyDescent="0.2">
      <c r="A324" s="7" t="s">
        <v>175</v>
      </c>
      <c r="B324" s="7">
        <v>8.9</v>
      </c>
      <c r="C324" s="7">
        <v>14</v>
      </c>
      <c r="D324" s="7">
        <v>14</v>
      </c>
      <c r="E324" s="7">
        <v>11.1</v>
      </c>
      <c r="F324" s="7">
        <v>10.9</v>
      </c>
      <c r="G324" s="7">
        <v>10.1</v>
      </c>
      <c r="H324" s="7">
        <v>3.9</v>
      </c>
      <c r="I324" s="7">
        <v>3.5</v>
      </c>
      <c r="J324" s="7">
        <v>3.4</v>
      </c>
      <c r="K324" s="7">
        <v>2.8</v>
      </c>
      <c r="L324" s="7">
        <v>11.3</v>
      </c>
      <c r="M324" s="7">
        <v>12.4</v>
      </c>
      <c r="N324" s="7">
        <v>12.2</v>
      </c>
      <c r="O324" s="7">
        <v>8.9</v>
      </c>
      <c r="P324" s="7">
        <v>12.4</v>
      </c>
      <c r="Q324" s="7">
        <v>12.8</v>
      </c>
      <c r="R324" s="7">
        <v>14.8</v>
      </c>
      <c r="S324" s="7">
        <v>14</v>
      </c>
      <c r="T324" s="7">
        <v>16</v>
      </c>
      <c r="U324" s="7">
        <v>15.8</v>
      </c>
      <c r="W324" s="33" t="s">
        <v>172</v>
      </c>
      <c r="X324" s="33">
        <v>7.6</v>
      </c>
    </row>
    <row r="325" spans="1:24" x14ac:dyDescent="0.2">
      <c r="A325" s="2" t="s">
        <v>298</v>
      </c>
      <c r="B325" s="2">
        <v>0</v>
      </c>
      <c r="C325" s="2">
        <v>0</v>
      </c>
      <c r="D325" s="2">
        <v>0.1</v>
      </c>
      <c r="E325" s="2">
        <v>0.1</v>
      </c>
      <c r="F325" s="15" t="s">
        <v>59</v>
      </c>
      <c r="G325" s="15" t="s">
        <v>59</v>
      </c>
      <c r="H325" s="15" t="s">
        <v>59</v>
      </c>
      <c r="I325" s="15" t="s">
        <v>59</v>
      </c>
      <c r="J325" s="15" t="s">
        <v>59</v>
      </c>
      <c r="K325" s="15" t="s">
        <v>59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0.1</v>
      </c>
      <c r="W325" s="35" t="s">
        <v>174</v>
      </c>
      <c r="X325" s="35">
        <v>3.3</v>
      </c>
    </row>
    <row r="326" spans="1:24" x14ac:dyDescent="0.2">
      <c r="A326" s="6" t="s">
        <v>177</v>
      </c>
      <c r="B326" s="6">
        <v>8.9</v>
      </c>
      <c r="C326" s="6">
        <v>14</v>
      </c>
      <c r="D326" s="6">
        <v>13.9</v>
      </c>
      <c r="E326" s="6">
        <v>11</v>
      </c>
      <c r="F326" s="6">
        <v>10.9</v>
      </c>
      <c r="G326" s="6">
        <v>10.1</v>
      </c>
      <c r="H326" s="6">
        <v>3.9</v>
      </c>
      <c r="I326" s="6">
        <v>3.5</v>
      </c>
      <c r="J326" s="6">
        <v>3.4</v>
      </c>
      <c r="K326" s="6">
        <v>2.8</v>
      </c>
      <c r="L326" s="6">
        <v>11.2</v>
      </c>
      <c r="M326" s="6">
        <v>12.4</v>
      </c>
      <c r="N326" s="6">
        <v>12.2</v>
      </c>
      <c r="O326" s="6">
        <v>8.9</v>
      </c>
      <c r="P326" s="6">
        <v>12.4</v>
      </c>
      <c r="Q326" s="6">
        <v>12.8</v>
      </c>
      <c r="R326" s="6">
        <v>14.8</v>
      </c>
      <c r="S326" s="6">
        <v>14</v>
      </c>
      <c r="T326" s="6">
        <v>16</v>
      </c>
      <c r="U326" s="6">
        <v>15.8</v>
      </c>
      <c r="W326" s="33" t="s">
        <v>176</v>
      </c>
      <c r="X326" s="33">
        <v>149.5</v>
      </c>
    </row>
    <row r="327" spans="1:24" x14ac:dyDescent="0.2">
      <c r="A327" s="11" t="s">
        <v>118</v>
      </c>
      <c r="B327" s="12">
        <v>1701.8</v>
      </c>
      <c r="C327" s="12">
        <v>1610.3</v>
      </c>
      <c r="D327" s="12">
        <v>1515.6</v>
      </c>
      <c r="E327" s="12">
        <v>1460.8</v>
      </c>
      <c r="F327" s="12">
        <v>1148.5</v>
      </c>
      <c r="G327" s="11">
        <v>972.8</v>
      </c>
      <c r="H327" s="11">
        <v>612</v>
      </c>
      <c r="I327" s="11">
        <v>471.3</v>
      </c>
      <c r="J327" s="11">
        <v>538.6</v>
      </c>
      <c r="K327" s="11">
        <v>379.9</v>
      </c>
      <c r="L327" s="12">
        <v>1827.2</v>
      </c>
      <c r="M327" s="12">
        <v>1775</v>
      </c>
      <c r="N327" s="12">
        <v>1727.5</v>
      </c>
      <c r="O327" s="12">
        <v>1701.8</v>
      </c>
      <c r="P327" s="12">
        <v>1675.4</v>
      </c>
      <c r="Q327" s="12">
        <v>1661.8</v>
      </c>
      <c r="R327" s="12">
        <v>1618.8</v>
      </c>
      <c r="S327" s="12">
        <v>1610.3</v>
      </c>
      <c r="T327" s="12">
        <v>1564.9</v>
      </c>
      <c r="U327" s="12">
        <v>1532.8</v>
      </c>
      <c r="W327" s="35" t="s">
        <v>178</v>
      </c>
      <c r="X327" s="35">
        <v>149.5</v>
      </c>
    </row>
    <row r="328" spans="1:24" x14ac:dyDescent="0.2">
      <c r="A328" s="6" t="s">
        <v>35</v>
      </c>
      <c r="B328" s="6">
        <v>5.68</v>
      </c>
      <c r="C328" s="6">
        <v>6.25</v>
      </c>
      <c r="D328" s="6">
        <v>3.75</v>
      </c>
      <c r="E328" s="6">
        <v>27.19</v>
      </c>
      <c r="F328" s="6">
        <v>18.059999999999999</v>
      </c>
      <c r="G328" s="6">
        <v>58.96</v>
      </c>
      <c r="H328" s="6">
        <v>29.85</v>
      </c>
      <c r="I328" s="13">
        <v>-12.49</v>
      </c>
      <c r="J328" s="6">
        <v>41.78</v>
      </c>
      <c r="K328" s="6">
        <v>357.88</v>
      </c>
      <c r="L328" s="6">
        <v>9.06</v>
      </c>
      <c r="M328" s="6">
        <v>6.82</v>
      </c>
      <c r="N328" s="6">
        <v>6.71</v>
      </c>
      <c r="O328" s="6">
        <v>5.68</v>
      </c>
      <c r="P328" s="6">
        <v>7.07</v>
      </c>
      <c r="Q328" s="6">
        <v>8.41</v>
      </c>
      <c r="R328" s="6">
        <v>7.43</v>
      </c>
      <c r="S328" s="6">
        <v>6.25</v>
      </c>
      <c r="T328" s="6">
        <v>4.2</v>
      </c>
      <c r="U328" s="6">
        <v>3.56</v>
      </c>
      <c r="W328" s="33" t="s">
        <v>179</v>
      </c>
      <c r="X328" s="33">
        <v>0.4</v>
      </c>
    </row>
    <row r="329" spans="1:24" x14ac:dyDescent="0.2">
      <c r="A329" s="11" t="s">
        <v>181</v>
      </c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W329" s="35" t="s">
        <v>180</v>
      </c>
      <c r="X329" s="35">
        <v>6.9</v>
      </c>
    </row>
    <row r="330" spans="1:24" x14ac:dyDescent="0.2">
      <c r="A330" s="7" t="s">
        <v>183</v>
      </c>
      <c r="B330" s="7" t="s">
        <v>1</v>
      </c>
      <c r="C330" s="7" t="s">
        <v>1</v>
      </c>
      <c r="D330" s="7" t="s">
        <v>1</v>
      </c>
      <c r="E330" s="7" t="s">
        <v>1</v>
      </c>
      <c r="F330" s="7" t="s">
        <v>1</v>
      </c>
      <c r="G330" s="7" t="s">
        <v>1</v>
      </c>
      <c r="H330" s="7" t="s">
        <v>1</v>
      </c>
      <c r="I330" s="7" t="s">
        <v>1</v>
      </c>
      <c r="J330" s="7" t="s">
        <v>1</v>
      </c>
      <c r="K330" s="7" t="s">
        <v>1</v>
      </c>
      <c r="L330" s="7" t="s">
        <v>1</v>
      </c>
      <c r="M330" s="7" t="s">
        <v>1</v>
      </c>
      <c r="N330" s="7" t="s">
        <v>1</v>
      </c>
      <c r="O330" s="7" t="s">
        <v>1</v>
      </c>
      <c r="P330" s="7" t="s">
        <v>1</v>
      </c>
      <c r="Q330" s="7" t="s">
        <v>1</v>
      </c>
      <c r="R330" s="7" t="s">
        <v>1</v>
      </c>
      <c r="S330" s="7" t="s">
        <v>1</v>
      </c>
      <c r="T330" s="7" t="s">
        <v>1</v>
      </c>
      <c r="U330" s="7" t="s">
        <v>1</v>
      </c>
      <c r="W330" s="33" t="s">
        <v>182</v>
      </c>
      <c r="X330" s="33">
        <v>18.5</v>
      </c>
    </row>
    <row r="331" spans="1:24" x14ac:dyDescent="0.2">
      <c r="A331" s="2" t="s">
        <v>185</v>
      </c>
      <c r="B331" s="2">
        <v>59.83</v>
      </c>
      <c r="C331" s="2">
        <v>52.44</v>
      </c>
      <c r="D331" s="2">
        <v>44.78</v>
      </c>
      <c r="E331" s="2">
        <v>38.229999999999997</v>
      </c>
      <c r="F331" s="2">
        <v>37.659999999999997</v>
      </c>
      <c r="G331" s="2">
        <v>31.88</v>
      </c>
      <c r="H331" s="2">
        <v>0</v>
      </c>
      <c r="I331" s="2">
        <v>0</v>
      </c>
      <c r="J331" s="2">
        <v>0</v>
      </c>
      <c r="K331" s="2">
        <v>0</v>
      </c>
      <c r="L331" s="2">
        <v>66.27</v>
      </c>
      <c r="M331" s="2">
        <v>64.39</v>
      </c>
      <c r="N331" s="2">
        <v>62.53</v>
      </c>
      <c r="O331" s="2">
        <v>59.83</v>
      </c>
      <c r="P331" s="2">
        <v>59.11</v>
      </c>
      <c r="Q331" s="2">
        <v>56.93</v>
      </c>
      <c r="R331" s="2">
        <v>54.31</v>
      </c>
      <c r="S331" s="2">
        <v>52.44</v>
      </c>
      <c r="T331" s="2">
        <v>50.85</v>
      </c>
      <c r="U331" s="2">
        <v>49.06</v>
      </c>
      <c r="W331" s="35" t="s">
        <v>184</v>
      </c>
      <c r="X331" s="35">
        <v>70.400000000000006</v>
      </c>
    </row>
    <row r="332" spans="1:24" x14ac:dyDescent="0.2">
      <c r="A332" s="6" t="s">
        <v>116</v>
      </c>
      <c r="B332" s="6">
        <v>23.61</v>
      </c>
      <c r="C332" s="6">
        <v>22.27</v>
      </c>
      <c r="D332" s="6">
        <v>20.41</v>
      </c>
      <c r="E332" s="6">
        <v>19.95</v>
      </c>
      <c r="F332" s="6">
        <v>23.49</v>
      </c>
      <c r="G332" s="6">
        <v>14.3</v>
      </c>
      <c r="H332" s="6">
        <v>12.47</v>
      </c>
      <c r="I332" s="6">
        <v>8.2100000000000009</v>
      </c>
      <c r="J332" s="6">
        <v>6.92</v>
      </c>
      <c r="K332" s="6">
        <v>6.79</v>
      </c>
      <c r="L332" s="6">
        <v>23.56</v>
      </c>
      <c r="M332" s="6">
        <v>20.66</v>
      </c>
      <c r="N332" s="6">
        <v>20.68</v>
      </c>
      <c r="O332" s="6">
        <v>23.61</v>
      </c>
      <c r="P332" s="6">
        <v>15.77</v>
      </c>
      <c r="Q332" s="6">
        <v>18.579999999999998</v>
      </c>
      <c r="R332" s="6">
        <v>15.16</v>
      </c>
      <c r="S332" s="6">
        <v>22.27</v>
      </c>
      <c r="T332" s="6">
        <v>21.25</v>
      </c>
      <c r="U332" s="6">
        <v>17.010000000000002</v>
      </c>
      <c r="W332" s="33" t="s">
        <v>186</v>
      </c>
      <c r="X332" s="33">
        <v>2.6</v>
      </c>
    </row>
    <row r="333" spans="1:24" x14ac:dyDescent="0.2">
      <c r="A333" s="2" t="s">
        <v>188</v>
      </c>
      <c r="B333" s="15" t="s">
        <v>59</v>
      </c>
      <c r="C333" s="15" t="s">
        <v>59</v>
      </c>
      <c r="D333" s="15" t="s">
        <v>59</v>
      </c>
      <c r="E333" s="15" t="s">
        <v>59</v>
      </c>
      <c r="F333" s="15" t="s">
        <v>59</v>
      </c>
      <c r="G333" s="15" t="s">
        <v>59</v>
      </c>
      <c r="H333" s="15" t="s">
        <v>59</v>
      </c>
      <c r="I333" s="2">
        <v>1.81</v>
      </c>
      <c r="J333" s="2">
        <v>1.32</v>
      </c>
      <c r="K333" s="2">
        <v>1.07</v>
      </c>
      <c r="L333" s="15" t="s">
        <v>59</v>
      </c>
      <c r="M333" s="15" t="s">
        <v>59</v>
      </c>
      <c r="N333" s="15" t="s">
        <v>59</v>
      </c>
      <c r="O333" s="15" t="s">
        <v>59</v>
      </c>
      <c r="P333" s="15" t="s">
        <v>59</v>
      </c>
      <c r="Q333" s="15" t="s">
        <v>59</v>
      </c>
      <c r="R333" s="15" t="s">
        <v>59</v>
      </c>
      <c r="S333" s="15" t="s">
        <v>59</v>
      </c>
      <c r="T333" s="15" t="s">
        <v>59</v>
      </c>
      <c r="U333" s="15" t="s">
        <v>59</v>
      </c>
      <c r="W333" s="35" t="s">
        <v>187</v>
      </c>
      <c r="X333" s="35">
        <v>2.9</v>
      </c>
    </row>
    <row r="334" spans="1:24" x14ac:dyDescent="0.2">
      <c r="A334" s="7" t="s">
        <v>190</v>
      </c>
      <c r="B334" s="7">
        <v>103.88</v>
      </c>
      <c r="C334" s="7">
        <v>89.36</v>
      </c>
      <c r="D334" s="7">
        <v>82.53</v>
      </c>
      <c r="E334" s="7">
        <v>63.32</v>
      </c>
      <c r="F334" s="7">
        <v>48.56</v>
      </c>
      <c r="G334" s="7">
        <v>53.22</v>
      </c>
      <c r="H334" s="7">
        <v>47.48</v>
      </c>
      <c r="I334" s="7">
        <v>24</v>
      </c>
      <c r="J334" s="7">
        <v>23.47</v>
      </c>
      <c r="K334" s="7">
        <v>16.149999999999999</v>
      </c>
      <c r="L334" s="7">
        <v>135.51</v>
      </c>
      <c r="M334" s="7">
        <v>119</v>
      </c>
      <c r="N334" s="7">
        <v>107.42</v>
      </c>
      <c r="O334" s="7">
        <v>103.88</v>
      </c>
      <c r="P334" s="7">
        <v>100.96</v>
      </c>
      <c r="Q334" s="7">
        <v>92.58</v>
      </c>
      <c r="R334" s="7">
        <v>91.61</v>
      </c>
      <c r="S334" s="7">
        <v>89.36</v>
      </c>
      <c r="T334" s="7">
        <v>80.08</v>
      </c>
      <c r="U334" s="7">
        <v>84.12</v>
      </c>
      <c r="W334" s="33" t="s">
        <v>189</v>
      </c>
      <c r="X334" s="33">
        <v>20</v>
      </c>
    </row>
    <row r="335" spans="1:24" x14ac:dyDescent="0.2">
      <c r="A335" s="2" t="s">
        <v>192</v>
      </c>
      <c r="B335" s="2">
        <v>25.42</v>
      </c>
      <c r="C335" s="2">
        <v>20.95</v>
      </c>
      <c r="D335" s="2">
        <v>17.579999999999998</v>
      </c>
      <c r="E335" s="2">
        <v>14.64</v>
      </c>
      <c r="F335" s="2">
        <v>10.44</v>
      </c>
      <c r="G335" s="2">
        <v>11.45</v>
      </c>
      <c r="H335" s="2">
        <v>10.65</v>
      </c>
      <c r="I335" s="2">
        <v>6.23</v>
      </c>
      <c r="J335" s="2">
        <v>6.08</v>
      </c>
      <c r="K335" s="2">
        <v>5.8</v>
      </c>
      <c r="L335" s="2">
        <v>25.95</v>
      </c>
      <c r="M335" s="2">
        <v>23.29</v>
      </c>
      <c r="N335" s="2">
        <v>20.55</v>
      </c>
      <c r="O335" s="2">
        <v>25.42</v>
      </c>
      <c r="P335" s="2">
        <v>21.96</v>
      </c>
      <c r="Q335" s="2">
        <v>22.58</v>
      </c>
      <c r="R335" s="2">
        <v>19.25</v>
      </c>
      <c r="S335" s="2">
        <v>20.95</v>
      </c>
      <c r="T335" s="2">
        <v>18.16</v>
      </c>
      <c r="U335" s="2">
        <v>18.22</v>
      </c>
      <c r="W335" s="35" t="s">
        <v>191</v>
      </c>
      <c r="X335" s="35">
        <v>64</v>
      </c>
    </row>
    <row r="336" spans="1:24" x14ac:dyDescent="0.2">
      <c r="A336" s="6" t="s">
        <v>194</v>
      </c>
      <c r="B336" s="6">
        <v>78.459999999999994</v>
      </c>
      <c r="C336" s="6">
        <v>68.41</v>
      </c>
      <c r="D336" s="6">
        <v>64.95</v>
      </c>
      <c r="E336" s="6">
        <v>48.68</v>
      </c>
      <c r="F336" s="6">
        <v>38.119999999999997</v>
      </c>
      <c r="G336" s="6">
        <v>41.77</v>
      </c>
      <c r="H336" s="6">
        <v>36.83</v>
      </c>
      <c r="I336" s="6">
        <v>17.77</v>
      </c>
      <c r="J336" s="6">
        <v>17.39</v>
      </c>
      <c r="K336" s="6">
        <v>10.34</v>
      </c>
      <c r="L336" s="6">
        <v>109.57</v>
      </c>
      <c r="M336" s="6">
        <v>95.71</v>
      </c>
      <c r="N336" s="6">
        <v>86.88</v>
      </c>
      <c r="O336" s="6">
        <v>78.459999999999994</v>
      </c>
      <c r="P336" s="6">
        <v>79</v>
      </c>
      <c r="Q336" s="6">
        <v>70</v>
      </c>
      <c r="R336" s="6">
        <v>72.36</v>
      </c>
      <c r="S336" s="6">
        <v>68.41</v>
      </c>
      <c r="T336" s="6">
        <v>61.92</v>
      </c>
      <c r="U336" s="6">
        <v>65.900000000000006</v>
      </c>
      <c r="W336" s="33" t="s">
        <v>193</v>
      </c>
      <c r="X336" s="33">
        <v>67.3</v>
      </c>
    </row>
    <row r="337" spans="1:24" x14ac:dyDescent="0.2">
      <c r="A337" s="11" t="s">
        <v>196</v>
      </c>
      <c r="B337" s="11">
        <v>187.31</v>
      </c>
      <c r="C337" s="11">
        <v>164.07</v>
      </c>
      <c r="D337" s="11">
        <v>147.72</v>
      </c>
      <c r="E337" s="11">
        <v>121.5</v>
      </c>
      <c r="F337" s="11">
        <v>109.71</v>
      </c>
      <c r="G337" s="11">
        <v>99.39</v>
      </c>
      <c r="H337" s="11">
        <v>59.95</v>
      </c>
      <c r="I337" s="11">
        <v>34.020000000000003</v>
      </c>
      <c r="J337" s="11">
        <v>31.72</v>
      </c>
      <c r="K337" s="11">
        <v>24.01</v>
      </c>
      <c r="L337" s="11">
        <v>225.35</v>
      </c>
      <c r="M337" s="11">
        <v>204.05</v>
      </c>
      <c r="N337" s="11">
        <v>190.63</v>
      </c>
      <c r="O337" s="11">
        <v>187.31</v>
      </c>
      <c r="P337" s="11">
        <v>175.83</v>
      </c>
      <c r="Q337" s="11">
        <v>168.09</v>
      </c>
      <c r="R337" s="11">
        <v>161.08000000000001</v>
      </c>
      <c r="S337" s="11">
        <v>164.07</v>
      </c>
      <c r="T337" s="11">
        <v>152.18</v>
      </c>
      <c r="U337" s="11">
        <v>150.19</v>
      </c>
      <c r="W337" s="35" t="s">
        <v>195</v>
      </c>
      <c r="X337" s="35">
        <v>0</v>
      </c>
    </row>
    <row r="338" spans="1:24" x14ac:dyDescent="0.2">
      <c r="A338" s="6" t="s">
        <v>35</v>
      </c>
      <c r="B338" s="6">
        <v>14.17</v>
      </c>
      <c r="C338" s="6">
        <v>11.07</v>
      </c>
      <c r="D338" s="6">
        <v>21.58</v>
      </c>
      <c r="E338" s="6">
        <v>10.75</v>
      </c>
      <c r="F338" s="6">
        <v>10.38</v>
      </c>
      <c r="G338" s="6">
        <v>65.8</v>
      </c>
      <c r="H338" s="6">
        <v>76.19</v>
      </c>
      <c r="I338" s="6">
        <v>7.28</v>
      </c>
      <c r="J338" s="6">
        <v>32.119999999999997</v>
      </c>
      <c r="K338" s="13">
        <v>-50.17</v>
      </c>
      <c r="L338" s="6">
        <v>28.16</v>
      </c>
      <c r="M338" s="6">
        <v>21.39</v>
      </c>
      <c r="N338" s="6">
        <v>18.34</v>
      </c>
      <c r="O338" s="6">
        <v>14.17</v>
      </c>
      <c r="P338" s="6">
        <v>15.55</v>
      </c>
      <c r="Q338" s="6">
        <v>11.92</v>
      </c>
      <c r="R338" s="6">
        <v>12.6</v>
      </c>
      <c r="S338" s="6">
        <v>11.07</v>
      </c>
      <c r="T338" s="6">
        <v>5.28</v>
      </c>
      <c r="U338" s="6">
        <v>12.15</v>
      </c>
      <c r="W338" s="33" t="s">
        <v>197</v>
      </c>
      <c r="X338" s="33">
        <v>34.1</v>
      </c>
    </row>
    <row r="339" spans="1:24" x14ac:dyDescent="0.2">
      <c r="A339" s="2" t="s">
        <v>199</v>
      </c>
      <c r="B339" s="2">
        <v>11.01</v>
      </c>
      <c r="C339" s="2">
        <v>10.19</v>
      </c>
      <c r="D339" s="2">
        <v>9.75</v>
      </c>
      <c r="E339" s="2">
        <v>8.32</v>
      </c>
      <c r="F339" s="2">
        <v>9.5500000000000007</v>
      </c>
      <c r="G339" s="2">
        <v>10.220000000000001</v>
      </c>
      <c r="H339" s="2">
        <v>9.8000000000000007</v>
      </c>
      <c r="I339" s="2">
        <v>7.22</v>
      </c>
      <c r="J339" s="2">
        <v>5.89</v>
      </c>
      <c r="K339" s="2">
        <v>6.32</v>
      </c>
      <c r="L339" s="2">
        <v>12.33</v>
      </c>
      <c r="M339" s="2">
        <v>11.5</v>
      </c>
      <c r="N339" s="2">
        <v>11.04</v>
      </c>
      <c r="O339" s="2">
        <v>11.01</v>
      </c>
      <c r="P339" s="2">
        <v>10.49</v>
      </c>
      <c r="Q339" s="2">
        <v>10.119999999999999</v>
      </c>
      <c r="R339" s="2">
        <v>9.9499999999999993</v>
      </c>
      <c r="S339" s="2">
        <v>10.19</v>
      </c>
      <c r="T339" s="2">
        <v>9.7200000000000006</v>
      </c>
      <c r="U339" s="2">
        <v>9.8000000000000007</v>
      </c>
      <c r="W339" s="35" t="s">
        <v>198</v>
      </c>
      <c r="X339" s="35">
        <v>3.2</v>
      </c>
    </row>
    <row r="340" spans="1:24" x14ac:dyDescent="0.2">
      <c r="A340" s="7" t="s">
        <v>201</v>
      </c>
      <c r="B340" s="7" t="s">
        <v>1</v>
      </c>
      <c r="C340" s="7" t="s">
        <v>1</v>
      </c>
      <c r="D340" s="7" t="s">
        <v>1</v>
      </c>
      <c r="E340" s="7" t="s">
        <v>1</v>
      </c>
      <c r="F340" s="7" t="s">
        <v>1</v>
      </c>
      <c r="G340" s="7" t="s">
        <v>1</v>
      </c>
      <c r="H340" s="7" t="s">
        <v>1</v>
      </c>
      <c r="I340" s="7" t="s">
        <v>1</v>
      </c>
      <c r="J340" s="7" t="s">
        <v>1</v>
      </c>
      <c r="K340" s="7" t="s">
        <v>1</v>
      </c>
      <c r="L340" s="7" t="s">
        <v>1</v>
      </c>
      <c r="M340" s="7" t="s">
        <v>1</v>
      </c>
      <c r="N340" s="7" t="s">
        <v>1</v>
      </c>
      <c r="O340" s="7" t="s">
        <v>1</v>
      </c>
      <c r="P340" s="7" t="s">
        <v>1</v>
      </c>
      <c r="Q340" s="7" t="s">
        <v>1</v>
      </c>
      <c r="R340" s="7" t="s">
        <v>1</v>
      </c>
      <c r="S340" s="7" t="s">
        <v>1</v>
      </c>
      <c r="T340" s="7" t="s">
        <v>1</v>
      </c>
      <c r="U340" s="7" t="s">
        <v>1</v>
      </c>
      <c r="W340" s="33" t="s">
        <v>200</v>
      </c>
      <c r="X340" s="33">
        <v>10.5</v>
      </c>
    </row>
    <row r="341" spans="1:24" x14ac:dyDescent="0.2">
      <c r="A341" s="11" t="s">
        <v>121</v>
      </c>
      <c r="B341" s="11">
        <v>749.8</v>
      </c>
      <c r="C341" s="11">
        <v>718.9</v>
      </c>
      <c r="D341" s="11">
        <v>675.7</v>
      </c>
      <c r="E341" s="11">
        <v>648</v>
      </c>
      <c r="F341" s="11">
        <v>347.3</v>
      </c>
      <c r="G341" s="11">
        <v>308.60000000000002</v>
      </c>
      <c r="H341" s="11">
        <v>20.8</v>
      </c>
      <c r="I341" s="11">
        <v>14.5</v>
      </c>
      <c r="J341" s="11">
        <v>2</v>
      </c>
      <c r="K341" s="11">
        <v>0.3</v>
      </c>
      <c r="L341" s="11">
        <v>797.8</v>
      </c>
      <c r="M341" s="11">
        <v>783.4</v>
      </c>
      <c r="N341" s="11">
        <v>772.1</v>
      </c>
      <c r="O341" s="11">
        <v>749.8</v>
      </c>
      <c r="P341" s="11">
        <v>754.3</v>
      </c>
      <c r="Q341" s="11">
        <v>742.7</v>
      </c>
      <c r="R341" s="11">
        <v>731.1</v>
      </c>
      <c r="S341" s="11">
        <v>718.9</v>
      </c>
      <c r="T341" s="11">
        <v>717</v>
      </c>
      <c r="U341" s="11">
        <v>697.5</v>
      </c>
      <c r="W341" s="35" t="s">
        <v>202</v>
      </c>
      <c r="X341" s="35">
        <v>0</v>
      </c>
    </row>
    <row r="342" spans="1:24" x14ac:dyDescent="0.2">
      <c r="A342" s="6" t="s">
        <v>299</v>
      </c>
      <c r="B342" s="6">
        <v>246.7</v>
      </c>
      <c r="C342" s="6">
        <v>245.6</v>
      </c>
      <c r="D342" s="6">
        <v>244.6</v>
      </c>
      <c r="E342" s="6">
        <v>243.5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0.3</v>
      </c>
      <c r="L342" s="6">
        <v>247.5</v>
      </c>
      <c r="M342" s="6">
        <v>247.2</v>
      </c>
      <c r="N342" s="6">
        <v>246.9</v>
      </c>
      <c r="O342" s="6">
        <v>246.7</v>
      </c>
      <c r="P342" s="6">
        <v>246.4</v>
      </c>
      <c r="Q342" s="6">
        <v>246.2</v>
      </c>
      <c r="R342" s="6">
        <v>245.9</v>
      </c>
      <c r="S342" s="6">
        <v>245.6</v>
      </c>
      <c r="T342" s="6">
        <v>245.4</v>
      </c>
      <c r="U342" s="6">
        <v>245.1</v>
      </c>
      <c r="W342" s="33" t="s">
        <v>203</v>
      </c>
      <c r="X342" s="33">
        <v>0.1</v>
      </c>
    </row>
    <row r="343" spans="1:24" x14ac:dyDescent="0.2">
      <c r="A343" s="2" t="s">
        <v>204</v>
      </c>
      <c r="B343" s="2">
        <v>503.1</v>
      </c>
      <c r="C343" s="2">
        <v>473.3</v>
      </c>
      <c r="D343" s="2">
        <v>431.1</v>
      </c>
      <c r="E343" s="2">
        <v>404.4</v>
      </c>
      <c r="F343" s="2">
        <v>347.3</v>
      </c>
      <c r="G343" s="2">
        <v>308.60000000000002</v>
      </c>
      <c r="H343" s="2">
        <v>20.8</v>
      </c>
      <c r="I343" s="2">
        <v>14.5</v>
      </c>
      <c r="J343" s="2">
        <v>2</v>
      </c>
      <c r="K343" s="2">
        <v>0</v>
      </c>
      <c r="L343" s="2">
        <v>550.29999999999995</v>
      </c>
      <c r="M343" s="2">
        <v>536.20000000000005</v>
      </c>
      <c r="N343" s="2">
        <v>525.1</v>
      </c>
      <c r="O343" s="2">
        <v>503.1</v>
      </c>
      <c r="P343" s="2">
        <v>507.9</v>
      </c>
      <c r="Q343" s="2">
        <v>496.6</v>
      </c>
      <c r="R343" s="2">
        <v>485.2</v>
      </c>
      <c r="S343" s="2">
        <v>473.3</v>
      </c>
      <c r="T343" s="2">
        <v>471.6</v>
      </c>
      <c r="U343" s="2">
        <v>452.4</v>
      </c>
      <c r="W343" s="35" t="s">
        <v>205</v>
      </c>
      <c r="X343" s="35">
        <v>3.3</v>
      </c>
    </row>
    <row r="344" spans="1:24" x14ac:dyDescent="0.2">
      <c r="A344" s="6" t="s">
        <v>206</v>
      </c>
      <c r="B344" s="6">
        <v>4.8</v>
      </c>
      <c r="C344" s="6">
        <v>4.5</v>
      </c>
      <c r="D344" s="6">
        <v>3.6</v>
      </c>
      <c r="E344" s="6">
        <v>3.2</v>
      </c>
      <c r="F344" s="6">
        <v>3.2</v>
      </c>
      <c r="G344" s="6">
        <v>4.5</v>
      </c>
      <c r="H344" s="6">
        <v>1.4</v>
      </c>
      <c r="I344" s="6">
        <v>0.7</v>
      </c>
      <c r="J344" s="6">
        <v>0.4</v>
      </c>
      <c r="K344" s="6">
        <v>0.3</v>
      </c>
      <c r="L344" s="16" t="s">
        <v>59</v>
      </c>
      <c r="M344" s="16" t="s">
        <v>59</v>
      </c>
      <c r="N344" s="16" t="s">
        <v>59</v>
      </c>
      <c r="O344" s="6">
        <v>4.8</v>
      </c>
      <c r="P344" s="16" t="s">
        <v>59</v>
      </c>
      <c r="Q344" s="16" t="s">
        <v>59</v>
      </c>
      <c r="R344" s="16" t="s">
        <v>59</v>
      </c>
      <c r="S344" s="6">
        <v>4.5</v>
      </c>
      <c r="T344" s="16" t="s">
        <v>59</v>
      </c>
      <c r="U344" s="16" t="s">
        <v>59</v>
      </c>
      <c r="W344" s="33" t="s">
        <v>207</v>
      </c>
      <c r="X344" s="33">
        <v>0.1</v>
      </c>
    </row>
    <row r="345" spans="1:24" x14ac:dyDescent="0.2">
      <c r="A345" s="11" t="s">
        <v>208</v>
      </c>
      <c r="B345" s="11">
        <v>266.2</v>
      </c>
      <c r="C345" s="11">
        <v>253.5</v>
      </c>
      <c r="D345" s="11">
        <v>251.7</v>
      </c>
      <c r="E345" s="11">
        <v>252.5</v>
      </c>
      <c r="F345" s="11">
        <v>253.8</v>
      </c>
      <c r="G345" s="11">
        <v>238.3</v>
      </c>
      <c r="H345" s="11">
        <v>256.3</v>
      </c>
      <c r="I345" s="11">
        <v>197.6</v>
      </c>
      <c r="J345" s="11">
        <v>303.10000000000002</v>
      </c>
      <c r="K345" s="11">
        <v>198.2</v>
      </c>
      <c r="L345" s="11">
        <v>268.8</v>
      </c>
      <c r="M345" s="11">
        <v>268.5</v>
      </c>
      <c r="N345" s="11">
        <v>267.2</v>
      </c>
      <c r="O345" s="11">
        <v>266.2</v>
      </c>
      <c r="P345" s="11">
        <v>266.2</v>
      </c>
      <c r="Q345" s="11">
        <v>264.60000000000002</v>
      </c>
      <c r="R345" s="11">
        <v>254.3</v>
      </c>
      <c r="S345" s="11">
        <v>253.5</v>
      </c>
      <c r="T345" s="11">
        <v>253.7</v>
      </c>
      <c r="U345" s="11">
        <v>253.8</v>
      </c>
      <c r="W345" s="37" t="s">
        <v>209</v>
      </c>
      <c r="X345" s="33"/>
    </row>
    <row r="346" spans="1:24" x14ac:dyDescent="0.2">
      <c r="A346" s="6" t="s">
        <v>210</v>
      </c>
      <c r="B346" s="6">
        <v>249.2</v>
      </c>
      <c r="C346" s="6">
        <v>236.4</v>
      </c>
      <c r="D346" s="6">
        <v>237.3</v>
      </c>
      <c r="E346" s="6">
        <v>239.8</v>
      </c>
      <c r="F346" s="6">
        <v>241.7</v>
      </c>
      <c r="G346" s="6">
        <v>227</v>
      </c>
      <c r="H346" s="6">
        <v>256.3</v>
      </c>
      <c r="I346" s="6">
        <v>197.6</v>
      </c>
      <c r="J346" s="6">
        <v>303.10000000000002</v>
      </c>
      <c r="K346" s="6">
        <v>198.2</v>
      </c>
      <c r="L346" s="6">
        <v>249.6</v>
      </c>
      <c r="M346" s="6">
        <v>248.9</v>
      </c>
      <c r="N346" s="6">
        <v>249.4</v>
      </c>
      <c r="O346" s="6">
        <v>249.2</v>
      </c>
      <c r="P346" s="6">
        <v>249.6</v>
      </c>
      <c r="Q346" s="6">
        <v>247.8</v>
      </c>
      <c r="R346" s="6">
        <v>237.4</v>
      </c>
      <c r="S346" s="6">
        <v>236.4</v>
      </c>
      <c r="T346" s="6">
        <v>237</v>
      </c>
      <c r="U346" s="6">
        <v>237.1</v>
      </c>
      <c r="W346" s="37" t="s">
        <v>211</v>
      </c>
      <c r="X346" s="33"/>
    </row>
    <row r="347" spans="1:24" x14ac:dyDescent="0.2">
      <c r="A347" s="2" t="s">
        <v>300</v>
      </c>
      <c r="B347" s="2">
        <v>17.100000000000001</v>
      </c>
      <c r="C347" s="2">
        <v>17.2</v>
      </c>
      <c r="D347" s="2">
        <v>14.3</v>
      </c>
      <c r="E347" s="2">
        <v>12.7</v>
      </c>
      <c r="F347" s="2">
        <v>12.2</v>
      </c>
      <c r="G347" s="2">
        <v>11.3</v>
      </c>
      <c r="H347" s="2">
        <v>0</v>
      </c>
      <c r="I347" s="2">
        <v>0</v>
      </c>
      <c r="J347" s="2">
        <v>0</v>
      </c>
      <c r="K347" s="2">
        <v>0</v>
      </c>
      <c r="L347" s="2">
        <v>19.2</v>
      </c>
      <c r="M347" s="2">
        <v>19.600000000000001</v>
      </c>
      <c r="N347" s="2">
        <v>17.899999999999999</v>
      </c>
      <c r="O347" s="2">
        <v>17.100000000000001</v>
      </c>
      <c r="P347" s="2">
        <v>16.600000000000001</v>
      </c>
      <c r="Q347" s="2">
        <v>16.8</v>
      </c>
      <c r="R347" s="2">
        <v>16.899999999999999</v>
      </c>
      <c r="S347" s="2">
        <v>17.2</v>
      </c>
      <c r="T347" s="2">
        <v>16.7</v>
      </c>
      <c r="U347" s="2">
        <v>16.7</v>
      </c>
    </row>
    <row r="348" spans="1:24" x14ac:dyDescent="0.2">
      <c r="A348" s="7" t="s">
        <v>212</v>
      </c>
      <c r="B348" s="8">
        <v>1208.2</v>
      </c>
      <c r="C348" s="8">
        <v>1140.9000000000001</v>
      </c>
      <c r="D348" s="8">
        <v>1078.8</v>
      </c>
      <c r="E348" s="8">
        <v>1025.2</v>
      </c>
      <c r="F348" s="7">
        <v>714</v>
      </c>
      <c r="G348" s="7">
        <v>650.79999999999995</v>
      </c>
      <c r="H348" s="7">
        <v>338.5</v>
      </c>
      <c r="I348" s="7">
        <v>246.8</v>
      </c>
      <c r="J348" s="7">
        <v>337.2</v>
      </c>
      <c r="K348" s="7">
        <v>222.8</v>
      </c>
      <c r="L348" s="8">
        <v>1291.9000000000001</v>
      </c>
      <c r="M348" s="8">
        <v>1256</v>
      </c>
      <c r="N348" s="8">
        <v>1230</v>
      </c>
      <c r="O348" s="8">
        <v>1208.2</v>
      </c>
      <c r="P348" s="8">
        <v>1196.4000000000001</v>
      </c>
      <c r="Q348" s="8">
        <v>1175.4000000000001</v>
      </c>
      <c r="R348" s="8">
        <v>1146.5</v>
      </c>
      <c r="S348" s="8">
        <v>1140.9000000000001</v>
      </c>
      <c r="T348" s="8">
        <v>1122.9000000000001</v>
      </c>
      <c r="U348" s="8">
        <v>1101.5</v>
      </c>
    </row>
    <row r="349" spans="1:24" x14ac:dyDescent="0.2">
      <c r="A349" s="2" t="s">
        <v>35</v>
      </c>
      <c r="B349" s="2">
        <v>5.89</v>
      </c>
      <c r="C349" s="2">
        <v>5.76</v>
      </c>
      <c r="D349" s="2">
        <v>5.23</v>
      </c>
      <c r="E349" s="2">
        <v>43.58</v>
      </c>
      <c r="F349" s="2">
        <v>9.7100000000000009</v>
      </c>
      <c r="G349" s="2">
        <v>92.26</v>
      </c>
      <c r="H349" s="2">
        <v>37.159999999999997</v>
      </c>
      <c r="I349" s="9">
        <v>-26.81</v>
      </c>
      <c r="J349" s="2">
        <v>51.32</v>
      </c>
      <c r="K349" s="2">
        <v>216.71</v>
      </c>
      <c r="L349" s="2">
        <v>7.99</v>
      </c>
      <c r="M349" s="2">
        <v>6.86</v>
      </c>
      <c r="N349" s="2">
        <v>7.28</v>
      </c>
      <c r="O349" s="2">
        <v>5.89</v>
      </c>
      <c r="P349" s="2">
        <v>6.55</v>
      </c>
      <c r="Q349" s="2">
        <v>6.71</v>
      </c>
      <c r="R349" s="2">
        <v>5.48</v>
      </c>
      <c r="S349" s="2">
        <v>5.76</v>
      </c>
      <c r="T349" s="2">
        <v>4.5999999999999996</v>
      </c>
      <c r="U349" s="2">
        <v>4.66</v>
      </c>
    </row>
    <row r="350" spans="1:24" x14ac:dyDescent="0.2">
      <c r="A350" s="6" t="s">
        <v>213</v>
      </c>
      <c r="B350" s="6">
        <v>70.989999999999995</v>
      </c>
      <c r="C350" s="6">
        <v>70.849999999999994</v>
      </c>
      <c r="D350" s="6">
        <v>71.180000000000007</v>
      </c>
      <c r="E350" s="6">
        <v>70.180000000000007</v>
      </c>
      <c r="F350" s="6">
        <v>62.17</v>
      </c>
      <c r="G350" s="6">
        <v>66.900000000000006</v>
      </c>
      <c r="H350" s="6">
        <v>55.32</v>
      </c>
      <c r="I350" s="6">
        <v>52.37</v>
      </c>
      <c r="J350" s="6">
        <v>62.61</v>
      </c>
      <c r="K350" s="6">
        <v>58.66</v>
      </c>
      <c r="L350" s="6">
        <v>70.709999999999994</v>
      </c>
      <c r="M350" s="6">
        <v>70.760000000000005</v>
      </c>
      <c r="N350" s="6">
        <v>71.2</v>
      </c>
      <c r="O350" s="6">
        <v>70.989999999999995</v>
      </c>
      <c r="P350" s="6">
        <v>71.41</v>
      </c>
      <c r="Q350" s="6">
        <v>70.73</v>
      </c>
      <c r="R350" s="6">
        <v>70.83</v>
      </c>
      <c r="S350" s="6">
        <v>70.849999999999994</v>
      </c>
      <c r="T350" s="6">
        <v>71.75</v>
      </c>
      <c r="U350" s="6">
        <v>71.86</v>
      </c>
    </row>
    <row r="351" spans="1:24" x14ac:dyDescent="0.2">
      <c r="A351" s="11" t="s">
        <v>214</v>
      </c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</row>
    <row r="352" spans="1:24" x14ac:dyDescent="0.2">
      <c r="A352" s="7" t="s">
        <v>215</v>
      </c>
      <c r="B352" s="7">
        <v>470</v>
      </c>
      <c r="C352" s="7">
        <v>443.4</v>
      </c>
      <c r="D352" s="7">
        <v>412.2</v>
      </c>
      <c r="E352" s="7">
        <v>409.5</v>
      </c>
      <c r="F352" s="7">
        <v>407.3</v>
      </c>
      <c r="G352" s="7">
        <v>298.8</v>
      </c>
      <c r="H352" s="7">
        <v>226.1</v>
      </c>
      <c r="I352" s="7">
        <v>169.5</v>
      </c>
      <c r="J352" s="7">
        <v>152.19999999999999</v>
      </c>
      <c r="K352" s="7">
        <v>100.6</v>
      </c>
      <c r="L352" s="7">
        <v>509</v>
      </c>
      <c r="M352" s="7">
        <v>494.1</v>
      </c>
      <c r="N352" s="7">
        <v>473.3</v>
      </c>
      <c r="O352" s="7">
        <v>470</v>
      </c>
      <c r="P352" s="7">
        <v>456.1</v>
      </c>
      <c r="Q352" s="7">
        <v>462.4</v>
      </c>
      <c r="R352" s="7">
        <v>446.4</v>
      </c>
      <c r="S352" s="7">
        <v>443.4</v>
      </c>
      <c r="T352" s="7">
        <v>416.4</v>
      </c>
      <c r="U352" s="7">
        <v>406.3</v>
      </c>
    </row>
    <row r="353" spans="1:21" x14ac:dyDescent="0.2">
      <c r="A353" s="2" t="s">
        <v>216</v>
      </c>
      <c r="B353" s="2">
        <v>0</v>
      </c>
      <c r="C353" s="2">
        <v>0</v>
      </c>
      <c r="D353" s="2">
        <v>0</v>
      </c>
      <c r="E353" s="2">
        <v>0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</row>
    <row r="354" spans="1:21" x14ac:dyDescent="0.2">
      <c r="A354" s="6" t="s">
        <v>217</v>
      </c>
      <c r="B354" s="6">
        <v>443</v>
      </c>
      <c r="C354" s="6">
        <v>426.6</v>
      </c>
      <c r="D354" s="6">
        <v>415.6</v>
      </c>
      <c r="E354" s="6">
        <v>405.9</v>
      </c>
      <c r="F354" s="6">
        <v>395.1</v>
      </c>
      <c r="G354" s="6">
        <v>244.4</v>
      </c>
      <c r="H354" s="6">
        <v>195.6</v>
      </c>
      <c r="I354" s="6">
        <v>153.1</v>
      </c>
      <c r="J354" s="6">
        <v>135.4</v>
      </c>
      <c r="K354" s="6">
        <v>96.3</v>
      </c>
      <c r="L354" s="6">
        <v>448.1</v>
      </c>
      <c r="M354" s="6">
        <v>445.7</v>
      </c>
      <c r="N354" s="6">
        <v>442</v>
      </c>
      <c r="O354" s="6">
        <v>443</v>
      </c>
      <c r="P354" s="6">
        <v>437.8</v>
      </c>
      <c r="Q354" s="6">
        <v>433.9</v>
      </c>
      <c r="R354" s="6">
        <v>427.5</v>
      </c>
      <c r="S354" s="6">
        <v>426.6</v>
      </c>
      <c r="T354" s="6">
        <v>423.8</v>
      </c>
      <c r="U354" s="6">
        <v>421.4</v>
      </c>
    </row>
    <row r="355" spans="1:21" x14ac:dyDescent="0.2">
      <c r="A355" s="2" t="s">
        <v>218</v>
      </c>
      <c r="B355" s="2">
        <v>27</v>
      </c>
      <c r="C355" s="2">
        <v>16.8</v>
      </c>
      <c r="D355" s="9">
        <v>-3.5</v>
      </c>
      <c r="E355" s="2">
        <v>3.6</v>
      </c>
      <c r="F355" s="2">
        <v>12.2</v>
      </c>
      <c r="G355" s="2">
        <v>54.4</v>
      </c>
      <c r="H355" s="2">
        <v>30.4</v>
      </c>
      <c r="I355" s="2">
        <v>16.399999999999999</v>
      </c>
      <c r="J355" s="2">
        <v>16.7</v>
      </c>
      <c r="K355" s="2">
        <v>4.3</v>
      </c>
      <c r="L355" s="2">
        <v>60.9</v>
      </c>
      <c r="M355" s="2">
        <v>48.4</v>
      </c>
      <c r="N355" s="2">
        <v>31.2</v>
      </c>
      <c r="O355" s="2">
        <v>27</v>
      </c>
      <c r="P355" s="2">
        <v>18.3</v>
      </c>
      <c r="Q355" s="2">
        <v>28.5</v>
      </c>
      <c r="R355" s="2">
        <v>18.8</v>
      </c>
      <c r="S355" s="2">
        <v>16.8</v>
      </c>
      <c r="T355" s="9">
        <v>-7.5</v>
      </c>
      <c r="U355" s="9">
        <v>-15.1</v>
      </c>
    </row>
    <row r="356" spans="1:21" x14ac:dyDescent="0.2">
      <c r="A356" s="6" t="s">
        <v>219</v>
      </c>
      <c r="B356" s="13">
        <v>0</v>
      </c>
      <c r="C356" s="13">
        <v>0</v>
      </c>
      <c r="D356" s="6">
        <v>0</v>
      </c>
      <c r="E356" s="6">
        <v>0</v>
      </c>
      <c r="F356" s="6">
        <v>0</v>
      </c>
      <c r="G356" s="6">
        <v>0</v>
      </c>
      <c r="H356" s="16" t="s">
        <v>59</v>
      </c>
      <c r="I356" s="16" t="s">
        <v>59</v>
      </c>
      <c r="J356" s="16" t="s">
        <v>59</v>
      </c>
      <c r="K356" s="16" t="s">
        <v>59</v>
      </c>
      <c r="L356" s="13">
        <v>0</v>
      </c>
      <c r="M356" s="13">
        <v>0</v>
      </c>
      <c r="N356" s="13">
        <v>0</v>
      </c>
      <c r="O356" s="13">
        <v>0</v>
      </c>
      <c r="P356" s="13">
        <v>0</v>
      </c>
      <c r="Q356" s="13">
        <v>0</v>
      </c>
      <c r="R356" s="13">
        <v>0</v>
      </c>
      <c r="S356" s="13">
        <v>0</v>
      </c>
      <c r="T356" s="13">
        <v>0</v>
      </c>
      <c r="U356" s="13">
        <v>0</v>
      </c>
    </row>
    <row r="357" spans="1:21" x14ac:dyDescent="0.2">
      <c r="A357" s="2" t="s">
        <v>301</v>
      </c>
      <c r="B357" s="15" t="s">
        <v>59</v>
      </c>
      <c r="C357" s="15" t="s">
        <v>59</v>
      </c>
      <c r="D357" s="15" t="s">
        <v>59</v>
      </c>
      <c r="E357" s="15" t="s">
        <v>59</v>
      </c>
      <c r="F357" s="15" t="s">
        <v>59</v>
      </c>
      <c r="G357" s="15" t="s">
        <v>59</v>
      </c>
      <c r="H357" s="2">
        <v>0</v>
      </c>
      <c r="I357" s="9">
        <v>0</v>
      </c>
      <c r="J357" s="9">
        <v>0</v>
      </c>
      <c r="K357" s="9">
        <v>0</v>
      </c>
      <c r="L357" s="15" t="s">
        <v>59</v>
      </c>
      <c r="M357" s="15" t="s">
        <v>59</v>
      </c>
      <c r="N357" s="15" t="s">
        <v>59</v>
      </c>
      <c r="O357" s="15" t="s">
        <v>59</v>
      </c>
      <c r="P357" s="15" t="s">
        <v>59</v>
      </c>
      <c r="Q357" s="15" t="s">
        <v>59</v>
      </c>
      <c r="R357" s="15" t="s">
        <v>59</v>
      </c>
      <c r="S357" s="15" t="s">
        <v>59</v>
      </c>
      <c r="T357" s="15" t="s">
        <v>59</v>
      </c>
      <c r="U357" s="15" t="s">
        <v>59</v>
      </c>
    </row>
    <row r="358" spans="1:21" x14ac:dyDescent="0.2">
      <c r="A358" s="7" t="s">
        <v>222</v>
      </c>
      <c r="B358" s="7">
        <v>470</v>
      </c>
      <c r="C358" s="7">
        <v>443.4</v>
      </c>
      <c r="D358" s="7">
        <v>412.2</v>
      </c>
      <c r="E358" s="7">
        <v>409.5</v>
      </c>
      <c r="F358" s="7">
        <v>407.3</v>
      </c>
      <c r="G358" s="7">
        <v>298.8</v>
      </c>
      <c r="H358" s="7">
        <v>226.1</v>
      </c>
      <c r="I358" s="7">
        <v>169.5</v>
      </c>
      <c r="J358" s="7">
        <v>152.19999999999999</v>
      </c>
      <c r="K358" s="7">
        <v>100.6</v>
      </c>
      <c r="L358" s="7">
        <v>509</v>
      </c>
      <c r="M358" s="7">
        <v>494.1</v>
      </c>
      <c r="N358" s="7">
        <v>473.3</v>
      </c>
      <c r="O358" s="7">
        <v>470</v>
      </c>
      <c r="P358" s="7">
        <v>456.1</v>
      </c>
      <c r="Q358" s="7">
        <v>462.4</v>
      </c>
      <c r="R358" s="7">
        <v>446.4</v>
      </c>
      <c r="S358" s="7">
        <v>443.4</v>
      </c>
      <c r="T358" s="7">
        <v>416.4</v>
      </c>
      <c r="U358" s="7">
        <v>406.3</v>
      </c>
    </row>
    <row r="359" spans="1:21" x14ac:dyDescent="0.2">
      <c r="A359" s="2" t="s">
        <v>35</v>
      </c>
      <c r="B359" s="2">
        <v>6</v>
      </c>
      <c r="C359" s="2">
        <v>7.57</v>
      </c>
      <c r="D359" s="2">
        <v>0.65</v>
      </c>
      <c r="E359" s="2">
        <v>0.54</v>
      </c>
      <c r="F359" s="2">
        <v>36.31</v>
      </c>
      <c r="G359" s="2">
        <v>32.18</v>
      </c>
      <c r="H359" s="2">
        <v>33.380000000000003</v>
      </c>
      <c r="I359" s="2">
        <v>11.37</v>
      </c>
      <c r="J359" s="2">
        <v>51.26</v>
      </c>
      <c r="K359" s="2">
        <v>698.53</v>
      </c>
      <c r="L359" s="2">
        <v>11.6</v>
      </c>
      <c r="M359" s="2">
        <v>6.85</v>
      </c>
      <c r="N359" s="2">
        <v>6.03</v>
      </c>
      <c r="O359" s="2">
        <v>6</v>
      </c>
      <c r="P359" s="2">
        <v>9.5500000000000007</v>
      </c>
      <c r="Q359" s="2">
        <v>13.82</v>
      </c>
      <c r="R359" s="2">
        <v>12.89</v>
      </c>
      <c r="S359" s="2">
        <v>7.57</v>
      </c>
      <c r="T359" s="2">
        <v>3.19</v>
      </c>
      <c r="U359" s="2">
        <v>0.87</v>
      </c>
    </row>
    <row r="360" spans="1:21" x14ac:dyDescent="0.2">
      <c r="A360" s="6" t="s">
        <v>223</v>
      </c>
      <c r="B360" s="6">
        <v>27.62</v>
      </c>
      <c r="C360" s="6">
        <v>27.54</v>
      </c>
      <c r="D360" s="6">
        <v>27.2</v>
      </c>
      <c r="E360" s="6">
        <v>28.04</v>
      </c>
      <c r="F360" s="6">
        <v>35.47</v>
      </c>
      <c r="G360" s="6">
        <v>30.72</v>
      </c>
      <c r="H360" s="6">
        <v>36.94</v>
      </c>
      <c r="I360" s="6">
        <v>35.96</v>
      </c>
      <c r="J360" s="6">
        <v>28.26</v>
      </c>
      <c r="K360" s="6">
        <v>26.49</v>
      </c>
      <c r="L360" s="6">
        <v>27.86</v>
      </c>
      <c r="M360" s="6">
        <v>27.84</v>
      </c>
      <c r="N360" s="6">
        <v>27.4</v>
      </c>
      <c r="O360" s="6">
        <v>27.62</v>
      </c>
      <c r="P360" s="6">
        <v>27.22</v>
      </c>
      <c r="Q360" s="6">
        <v>27.83</v>
      </c>
      <c r="R360" s="6">
        <v>27.57</v>
      </c>
      <c r="S360" s="6">
        <v>27.54</v>
      </c>
      <c r="T360" s="6">
        <v>26.61</v>
      </c>
      <c r="U360" s="6">
        <v>26.5</v>
      </c>
    </row>
    <row r="361" spans="1:21" x14ac:dyDescent="0.2">
      <c r="A361" s="2" t="s">
        <v>302</v>
      </c>
      <c r="B361" s="2">
        <v>23.6</v>
      </c>
      <c r="C361" s="2">
        <v>26</v>
      </c>
      <c r="D361" s="2">
        <v>24.6</v>
      </c>
      <c r="E361" s="2">
        <v>26.1</v>
      </c>
      <c r="F361" s="2">
        <v>27.2</v>
      </c>
      <c r="G361" s="2">
        <v>23.2</v>
      </c>
      <c r="H361" s="2">
        <v>47.4</v>
      </c>
      <c r="I361" s="2">
        <v>55</v>
      </c>
      <c r="J361" s="2">
        <v>49.2</v>
      </c>
      <c r="K361" s="2">
        <v>56.4</v>
      </c>
      <c r="L361" s="2">
        <v>26.2</v>
      </c>
      <c r="M361" s="2">
        <v>25</v>
      </c>
      <c r="N361" s="2">
        <v>24.2</v>
      </c>
      <c r="O361" s="2">
        <v>23.6</v>
      </c>
      <c r="P361" s="2">
        <v>23</v>
      </c>
      <c r="Q361" s="2">
        <v>24</v>
      </c>
      <c r="R361" s="2">
        <v>25.9</v>
      </c>
      <c r="S361" s="2">
        <v>26</v>
      </c>
      <c r="T361" s="2">
        <v>25.6</v>
      </c>
      <c r="U361" s="2">
        <v>25.1</v>
      </c>
    </row>
    <row r="362" spans="1:21" x14ac:dyDescent="0.2">
      <c r="A362" s="7" t="s">
        <v>224</v>
      </c>
      <c r="B362" s="7">
        <v>493.6</v>
      </c>
      <c r="C362" s="7">
        <v>469.4</v>
      </c>
      <c r="D362" s="7">
        <v>436.8</v>
      </c>
      <c r="E362" s="7">
        <v>435.6</v>
      </c>
      <c r="F362" s="7">
        <v>434.5</v>
      </c>
      <c r="G362" s="7">
        <v>322</v>
      </c>
      <c r="H362" s="7">
        <v>273.5</v>
      </c>
      <c r="I362" s="7">
        <v>224.5</v>
      </c>
      <c r="J362" s="7">
        <v>201.4</v>
      </c>
      <c r="K362" s="7">
        <v>157</v>
      </c>
      <c r="L362" s="7">
        <v>535.20000000000005</v>
      </c>
      <c r="M362" s="7">
        <v>519.1</v>
      </c>
      <c r="N362" s="7">
        <v>497.5</v>
      </c>
      <c r="O362" s="7">
        <v>493.6</v>
      </c>
      <c r="P362" s="7">
        <v>479.1</v>
      </c>
      <c r="Q362" s="7">
        <v>486.4</v>
      </c>
      <c r="R362" s="7">
        <v>472.3</v>
      </c>
      <c r="S362" s="7">
        <v>469.4</v>
      </c>
      <c r="T362" s="7">
        <v>442</v>
      </c>
      <c r="U362" s="7">
        <v>431.4</v>
      </c>
    </row>
    <row r="363" spans="1:21" x14ac:dyDescent="0.2">
      <c r="A363" s="2" t="s">
        <v>35</v>
      </c>
      <c r="B363" s="2">
        <v>5.17</v>
      </c>
      <c r="C363" s="2">
        <v>7.45</v>
      </c>
      <c r="D363" s="2">
        <v>0.28000000000000003</v>
      </c>
      <c r="E363" s="2">
        <v>0.25</v>
      </c>
      <c r="F363" s="2">
        <v>34.94</v>
      </c>
      <c r="G363" s="2">
        <v>17.75</v>
      </c>
      <c r="H363" s="2">
        <v>21.82</v>
      </c>
      <c r="I363" s="2">
        <v>11.49</v>
      </c>
      <c r="J363" s="2">
        <v>28.23</v>
      </c>
      <c r="K363" s="10">
        <v>1146.18</v>
      </c>
      <c r="L363" s="2">
        <v>11.73</v>
      </c>
      <c r="M363" s="2">
        <v>6.72</v>
      </c>
      <c r="N363" s="2">
        <v>5.34</v>
      </c>
      <c r="O363" s="2">
        <v>5.17</v>
      </c>
      <c r="P363" s="2">
        <v>8.3800000000000008</v>
      </c>
      <c r="Q363" s="2">
        <v>12.75</v>
      </c>
      <c r="R363" s="2">
        <v>12.48</v>
      </c>
      <c r="S363" s="2">
        <v>7.45</v>
      </c>
      <c r="T363" s="2">
        <v>3.21</v>
      </c>
      <c r="U363" s="2">
        <v>0.87</v>
      </c>
    </row>
    <row r="364" spans="1:21" x14ac:dyDescent="0.2">
      <c r="A364" s="6" t="s">
        <v>225</v>
      </c>
      <c r="B364" s="6">
        <v>29.01</v>
      </c>
      <c r="C364" s="6">
        <v>29.15</v>
      </c>
      <c r="D364" s="6">
        <v>28.82</v>
      </c>
      <c r="E364" s="6">
        <v>29.82</v>
      </c>
      <c r="F364" s="6">
        <v>37.83</v>
      </c>
      <c r="G364" s="6">
        <v>33.1</v>
      </c>
      <c r="H364" s="6">
        <v>44.68</v>
      </c>
      <c r="I364" s="6">
        <v>47.63</v>
      </c>
      <c r="J364" s="6">
        <v>37.39</v>
      </c>
      <c r="K364" s="6">
        <v>41.34</v>
      </c>
      <c r="L364" s="6">
        <v>29.29</v>
      </c>
      <c r="M364" s="6">
        <v>29.24</v>
      </c>
      <c r="N364" s="6">
        <v>28.8</v>
      </c>
      <c r="O364" s="6">
        <v>29.01</v>
      </c>
      <c r="P364" s="6">
        <v>28.59</v>
      </c>
      <c r="Q364" s="6">
        <v>29.27</v>
      </c>
      <c r="R364" s="6">
        <v>29.17</v>
      </c>
      <c r="S364" s="6">
        <v>29.15</v>
      </c>
      <c r="T364" s="6">
        <v>28.25</v>
      </c>
      <c r="U364" s="6">
        <v>28.14</v>
      </c>
    </row>
    <row r="365" spans="1:21" x14ac:dyDescent="0.2">
      <c r="A365" s="11" t="s">
        <v>226</v>
      </c>
      <c r="B365" s="12">
        <v>1701.8</v>
      </c>
      <c r="C365" s="12">
        <v>1610.3</v>
      </c>
      <c r="D365" s="12">
        <v>1515.6</v>
      </c>
      <c r="E365" s="12">
        <v>1460.8</v>
      </c>
      <c r="F365" s="12">
        <v>1148.5</v>
      </c>
      <c r="G365" s="11">
        <v>972.8</v>
      </c>
      <c r="H365" s="11">
        <v>612</v>
      </c>
      <c r="I365" s="11">
        <v>471.3</v>
      </c>
      <c r="J365" s="11">
        <v>538.6</v>
      </c>
      <c r="K365" s="11">
        <v>379.9</v>
      </c>
      <c r="L365" s="12">
        <v>1827.2</v>
      </c>
      <c r="M365" s="12">
        <v>1775</v>
      </c>
      <c r="N365" s="12">
        <v>1727.5</v>
      </c>
      <c r="O365" s="12">
        <v>1701.8</v>
      </c>
      <c r="P365" s="12">
        <v>1675.4</v>
      </c>
      <c r="Q365" s="12">
        <v>1661.8</v>
      </c>
      <c r="R365" s="12">
        <v>1618.8</v>
      </c>
      <c r="S365" s="12">
        <v>1610.3</v>
      </c>
      <c r="T365" s="12">
        <v>1564.9</v>
      </c>
      <c r="U365" s="12">
        <v>1532.8</v>
      </c>
    </row>
    <row r="366" spans="1:21" x14ac:dyDescent="0.2">
      <c r="A366" s="6" t="s">
        <v>35</v>
      </c>
      <c r="B366" s="6">
        <v>5.68</v>
      </c>
      <c r="C366" s="6">
        <v>6.25</v>
      </c>
      <c r="D366" s="6">
        <v>3.75</v>
      </c>
      <c r="E366" s="6">
        <v>27.19</v>
      </c>
      <c r="F366" s="6">
        <v>18.059999999999999</v>
      </c>
      <c r="G366" s="6">
        <v>58.96</v>
      </c>
      <c r="H366" s="6">
        <v>29.85</v>
      </c>
      <c r="I366" s="13">
        <v>-12.49</v>
      </c>
      <c r="J366" s="6">
        <v>41.78</v>
      </c>
      <c r="K366" s="6">
        <v>357.88</v>
      </c>
      <c r="L366" s="6">
        <v>9.06</v>
      </c>
      <c r="M366" s="6">
        <v>6.82</v>
      </c>
      <c r="N366" s="6">
        <v>6.71</v>
      </c>
      <c r="O366" s="6">
        <v>5.68</v>
      </c>
      <c r="P366" s="6">
        <v>7.07</v>
      </c>
      <c r="Q366" s="6">
        <v>8.41</v>
      </c>
      <c r="R366" s="6">
        <v>7.43</v>
      </c>
      <c r="S366" s="6">
        <v>6.25</v>
      </c>
      <c r="T366" s="6">
        <v>4.2</v>
      </c>
      <c r="U366" s="6">
        <v>3.56</v>
      </c>
    </row>
    <row r="367" spans="1:21" x14ac:dyDescent="0.2">
      <c r="A367" s="2" t="s">
        <v>227</v>
      </c>
      <c r="B367" s="2">
        <v>100</v>
      </c>
      <c r="C367" s="2">
        <v>100</v>
      </c>
      <c r="D367" s="2">
        <v>100</v>
      </c>
      <c r="E367" s="2">
        <v>100</v>
      </c>
      <c r="F367" s="2">
        <v>100</v>
      </c>
      <c r="G367" s="2">
        <v>100</v>
      </c>
      <c r="H367" s="2">
        <v>100</v>
      </c>
      <c r="I367" s="2">
        <v>100</v>
      </c>
      <c r="J367" s="2">
        <v>100</v>
      </c>
      <c r="K367" s="2">
        <v>100</v>
      </c>
      <c r="L367" s="2">
        <v>100</v>
      </c>
      <c r="M367" s="2">
        <v>100</v>
      </c>
      <c r="N367" s="2">
        <v>100</v>
      </c>
      <c r="O367" s="2">
        <v>100</v>
      </c>
      <c r="P367" s="2">
        <v>100</v>
      </c>
      <c r="Q367" s="2">
        <v>100</v>
      </c>
      <c r="R367" s="2">
        <v>100</v>
      </c>
      <c r="S367" s="2">
        <v>100</v>
      </c>
      <c r="T367" s="2">
        <v>100</v>
      </c>
      <c r="U367" s="2">
        <v>100</v>
      </c>
    </row>
    <row r="368" spans="1:21" x14ac:dyDescent="0.2">
      <c r="A368" s="7" t="s">
        <v>93</v>
      </c>
      <c r="B368" s="7" t="s">
        <v>1</v>
      </c>
      <c r="C368" s="7" t="s">
        <v>1</v>
      </c>
      <c r="D368" s="7" t="s">
        <v>1</v>
      </c>
      <c r="E368" s="7" t="s">
        <v>1</v>
      </c>
      <c r="F368" s="7" t="s">
        <v>1</v>
      </c>
      <c r="G368" s="7" t="s">
        <v>1</v>
      </c>
      <c r="H368" s="7" t="s">
        <v>1</v>
      </c>
      <c r="I368" s="7" t="s">
        <v>1</v>
      </c>
      <c r="J368" s="7" t="s">
        <v>1</v>
      </c>
      <c r="K368" s="7" t="s">
        <v>1</v>
      </c>
      <c r="L368" s="7" t="s">
        <v>1</v>
      </c>
      <c r="M368" s="7" t="s">
        <v>1</v>
      </c>
      <c r="N368" s="7" t="s">
        <v>1</v>
      </c>
      <c r="O368" s="7" t="s">
        <v>1</v>
      </c>
      <c r="P368" s="7" t="s">
        <v>1</v>
      </c>
      <c r="Q368" s="7" t="s">
        <v>1</v>
      </c>
      <c r="R368" s="7" t="s">
        <v>1</v>
      </c>
      <c r="S368" s="7" t="s">
        <v>1</v>
      </c>
      <c r="T368" s="7" t="s">
        <v>1</v>
      </c>
      <c r="U368" s="7" t="s">
        <v>1</v>
      </c>
    </row>
    <row r="369" spans="1:21" x14ac:dyDescent="0.2">
      <c r="A369" s="2" t="s">
        <v>162</v>
      </c>
      <c r="B369" s="2">
        <v>11.73</v>
      </c>
      <c r="C369" s="2">
        <v>11.23</v>
      </c>
      <c r="D369" s="2">
        <v>10.49</v>
      </c>
      <c r="E369" s="2">
        <v>10.46</v>
      </c>
      <c r="F369" s="2">
        <v>10.52</v>
      </c>
      <c r="G369" s="2">
        <v>8.68</v>
      </c>
      <c r="H369" s="2">
        <v>7.66</v>
      </c>
      <c r="I369" s="2">
        <v>6.39</v>
      </c>
      <c r="J369" s="2">
        <v>6.05</v>
      </c>
      <c r="K369" s="2">
        <v>5.08</v>
      </c>
      <c r="L369" s="2">
        <v>12.65</v>
      </c>
      <c r="M369" s="2">
        <v>12.28</v>
      </c>
      <c r="N369" s="2">
        <v>11.77</v>
      </c>
      <c r="O369" s="2">
        <v>11.73</v>
      </c>
      <c r="P369" s="2">
        <v>11.39</v>
      </c>
      <c r="Q369" s="2">
        <v>11.57</v>
      </c>
      <c r="R369" s="2">
        <v>11.26</v>
      </c>
      <c r="S369" s="2">
        <v>11.23</v>
      </c>
      <c r="T369" s="2">
        <v>10.55</v>
      </c>
      <c r="U369" s="2">
        <v>10.3</v>
      </c>
    </row>
    <row r="370" spans="1:21" x14ac:dyDescent="0.2">
      <c r="A370" s="6" t="s">
        <v>228</v>
      </c>
      <c r="B370" s="6">
        <v>11.68</v>
      </c>
      <c r="C370" s="6">
        <v>11.18</v>
      </c>
      <c r="D370" s="6">
        <v>10.45</v>
      </c>
      <c r="E370" s="6">
        <v>10.43</v>
      </c>
      <c r="F370" s="6">
        <v>10.48</v>
      </c>
      <c r="G370" s="6">
        <v>8.64</v>
      </c>
      <c r="H370" s="6">
        <v>7.62</v>
      </c>
      <c r="I370" s="6">
        <v>6.36</v>
      </c>
      <c r="J370" s="6">
        <v>6.02</v>
      </c>
      <c r="K370" s="6">
        <v>5.05</v>
      </c>
      <c r="L370" s="6">
        <v>12.65</v>
      </c>
      <c r="M370" s="6">
        <v>12.28</v>
      </c>
      <c r="N370" s="6">
        <v>11.77</v>
      </c>
      <c r="O370" s="6">
        <v>11.68</v>
      </c>
      <c r="P370" s="6">
        <v>11.39</v>
      </c>
      <c r="Q370" s="6">
        <v>11.57</v>
      </c>
      <c r="R370" s="6">
        <v>11.26</v>
      </c>
      <c r="S370" s="6">
        <v>11.18</v>
      </c>
      <c r="T370" s="6">
        <v>10.55</v>
      </c>
      <c r="U370" s="6">
        <v>10.3</v>
      </c>
    </row>
    <row r="371" spans="1:21" x14ac:dyDescent="0.2">
      <c r="A371" s="2" t="s">
        <v>111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2">
      <c r="A372" s="6" t="s">
        <v>128</v>
      </c>
      <c r="B372" s="6">
        <v>180.9</v>
      </c>
      <c r="C372" s="6">
        <v>170.4</v>
      </c>
      <c r="D372" s="6">
        <v>196.3</v>
      </c>
      <c r="E372" s="6">
        <v>288.2</v>
      </c>
      <c r="F372" s="6">
        <v>93.5</v>
      </c>
      <c r="G372" s="13">
        <v>-11.7</v>
      </c>
      <c r="H372" s="6">
        <v>41.2</v>
      </c>
      <c r="I372" s="6">
        <v>59.2</v>
      </c>
      <c r="J372" s="6">
        <v>52.2</v>
      </c>
      <c r="K372" s="6">
        <v>54.9</v>
      </c>
      <c r="L372" s="6">
        <v>189.4</v>
      </c>
      <c r="M372" s="6">
        <v>186.8</v>
      </c>
      <c r="N372" s="6">
        <v>174</v>
      </c>
      <c r="O372" s="6">
        <v>180.9</v>
      </c>
      <c r="P372" s="6">
        <v>178.2</v>
      </c>
      <c r="Q372" s="6">
        <v>177.6</v>
      </c>
      <c r="R372" s="6">
        <v>165.1</v>
      </c>
      <c r="S372" s="6">
        <v>170.4</v>
      </c>
      <c r="T372" s="6">
        <v>171.1</v>
      </c>
      <c r="U372" s="6">
        <v>179.3</v>
      </c>
    </row>
    <row r="373" spans="1:21" x14ac:dyDescent="0.2">
      <c r="A373" s="2" t="s">
        <v>229</v>
      </c>
      <c r="B373" s="10">
        <v>1279.5999999999999</v>
      </c>
      <c r="C373" s="10">
        <v>1214.7</v>
      </c>
      <c r="D373" s="10">
        <v>1132.7</v>
      </c>
      <c r="E373" s="10">
        <v>1095.7</v>
      </c>
      <c r="F373" s="2">
        <v>792.3</v>
      </c>
      <c r="G373" s="2">
        <v>639.20000000000005</v>
      </c>
      <c r="H373" s="2">
        <v>246.9</v>
      </c>
      <c r="I373" s="2">
        <v>184</v>
      </c>
      <c r="J373" s="2">
        <v>154.19999999999999</v>
      </c>
      <c r="K373" s="2">
        <v>100.9</v>
      </c>
      <c r="L373" s="10">
        <v>1373.1</v>
      </c>
      <c r="M373" s="10">
        <v>1341.9</v>
      </c>
      <c r="N373" s="10">
        <v>1307.9000000000001</v>
      </c>
      <c r="O373" s="10">
        <v>1279.5999999999999</v>
      </c>
      <c r="P373" s="10">
        <v>1269.5</v>
      </c>
      <c r="Q373" s="10">
        <v>1262.0999999999999</v>
      </c>
      <c r="R373" s="10">
        <v>1231.8</v>
      </c>
      <c r="S373" s="10">
        <v>1214.7</v>
      </c>
      <c r="T373" s="10">
        <v>1184.2</v>
      </c>
      <c r="U373" s="10">
        <v>1152.8</v>
      </c>
    </row>
    <row r="374" spans="1:21" x14ac:dyDescent="0.2">
      <c r="A374" s="6" t="s">
        <v>122</v>
      </c>
      <c r="B374" s="6">
        <v>809.6</v>
      </c>
      <c r="C374" s="6">
        <v>771.3</v>
      </c>
      <c r="D374" s="6">
        <v>720.5</v>
      </c>
      <c r="E374" s="6">
        <v>686.2</v>
      </c>
      <c r="F374" s="6">
        <v>385</v>
      </c>
      <c r="G374" s="6">
        <v>340.4</v>
      </c>
      <c r="H374" s="6">
        <v>20.8</v>
      </c>
      <c r="I374" s="6">
        <v>14.5</v>
      </c>
      <c r="J374" s="6">
        <v>2</v>
      </c>
      <c r="K374" s="6">
        <v>0.3</v>
      </c>
      <c r="L374" s="6">
        <v>864</v>
      </c>
      <c r="M374" s="6">
        <v>847.8</v>
      </c>
      <c r="N374" s="6">
        <v>834.6</v>
      </c>
      <c r="O374" s="6">
        <v>809.6</v>
      </c>
      <c r="P374" s="6">
        <v>813.4</v>
      </c>
      <c r="Q374" s="6">
        <v>799.7</v>
      </c>
      <c r="R374" s="6">
        <v>785.4</v>
      </c>
      <c r="S374" s="6">
        <v>771.3</v>
      </c>
      <c r="T374" s="6">
        <v>767.8</v>
      </c>
      <c r="U374" s="6">
        <v>746.5</v>
      </c>
    </row>
    <row r="375" spans="1:21" x14ac:dyDescent="0.2">
      <c r="A375" s="2" t="s">
        <v>126</v>
      </c>
      <c r="B375" s="2">
        <v>488.9</v>
      </c>
      <c r="C375" s="2">
        <v>478.1</v>
      </c>
      <c r="D375" s="2">
        <v>409.3</v>
      </c>
      <c r="E375" s="2">
        <v>303.8</v>
      </c>
      <c r="F375" s="2">
        <v>201.2</v>
      </c>
      <c r="G375" s="2">
        <v>266.8</v>
      </c>
      <c r="H375" s="9">
        <v>-66</v>
      </c>
      <c r="I375" s="9">
        <v>-70</v>
      </c>
      <c r="J375" s="9">
        <v>-73.400000000000006</v>
      </c>
      <c r="K375" s="9">
        <v>-70.8</v>
      </c>
      <c r="L375" s="2">
        <v>506.3</v>
      </c>
      <c r="M375" s="2">
        <v>511</v>
      </c>
      <c r="N375" s="2">
        <v>521.70000000000005</v>
      </c>
      <c r="O375" s="2">
        <v>488.9</v>
      </c>
      <c r="P375" s="2">
        <v>502.6</v>
      </c>
      <c r="Q375" s="2">
        <v>495.2</v>
      </c>
      <c r="R375" s="2">
        <v>500.7</v>
      </c>
      <c r="S375" s="2">
        <v>478.1</v>
      </c>
      <c r="T375" s="2">
        <v>482.8</v>
      </c>
      <c r="U375" s="2">
        <v>451.3</v>
      </c>
    </row>
    <row r="376" spans="1:21" x14ac:dyDescent="0.2">
      <c r="A376" s="7" t="s">
        <v>230</v>
      </c>
      <c r="B376" s="7" t="s">
        <v>1</v>
      </c>
      <c r="C376" s="7" t="s">
        <v>1</v>
      </c>
      <c r="D376" s="7" t="s">
        <v>1</v>
      </c>
      <c r="E376" s="7" t="s">
        <v>1</v>
      </c>
      <c r="F376" s="7" t="s">
        <v>1</v>
      </c>
      <c r="G376" s="7" t="s">
        <v>1</v>
      </c>
      <c r="H376" s="7" t="s">
        <v>1</v>
      </c>
      <c r="I376" s="7" t="s">
        <v>1</v>
      </c>
      <c r="J376" s="7" t="s">
        <v>1</v>
      </c>
      <c r="K376" s="7" t="s">
        <v>1</v>
      </c>
      <c r="L376" s="7" t="s">
        <v>1</v>
      </c>
      <c r="M376" s="7" t="s">
        <v>1</v>
      </c>
      <c r="N376" s="7" t="s">
        <v>1</v>
      </c>
      <c r="O376" s="7" t="s">
        <v>1</v>
      </c>
      <c r="P376" s="7" t="s">
        <v>1</v>
      </c>
      <c r="Q376" s="7" t="s">
        <v>1</v>
      </c>
      <c r="R376" s="7" t="s">
        <v>1</v>
      </c>
      <c r="S376" s="7" t="s">
        <v>1</v>
      </c>
      <c r="T376" s="7" t="s">
        <v>1</v>
      </c>
      <c r="U376" s="7" t="s">
        <v>1</v>
      </c>
    </row>
    <row r="377" spans="1:21" x14ac:dyDescent="0.2">
      <c r="A377" s="2" t="s">
        <v>231</v>
      </c>
      <c r="B377" s="2">
        <v>1.98</v>
      </c>
      <c r="C377" s="2">
        <v>1.88</v>
      </c>
      <c r="D377" s="2">
        <v>1.85</v>
      </c>
      <c r="E377" s="2">
        <v>1.87</v>
      </c>
      <c r="F377" s="2">
        <v>1.92</v>
      </c>
      <c r="G377" s="2">
        <v>1.49</v>
      </c>
      <c r="H377" s="2">
        <v>1.52</v>
      </c>
      <c r="I377" s="2">
        <v>1.37</v>
      </c>
      <c r="J377" s="2">
        <v>1.23</v>
      </c>
      <c r="K377" s="2">
        <v>1.39</v>
      </c>
      <c r="L377" s="2">
        <v>1.85</v>
      </c>
      <c r="M377" s="2">
        <v>1.86</v>
      </c>
      <c r="N377" s="2">
        <v>1.76</v>
      </c>
      <c r="O377" s="2">
        <v>1.97</v>
      </c>
      <c r="P377" s="2">
        <v>1.73</v>
      </c>
      <c r="Q377" s="2">
        <v>1.8</v>
      </c>
      <c r="R377" s="2">
        <v>1.8</v>
      </c>
      <c r="S377" s="2">
        <v>1.88</v>
      </c>
      <c r="T377" s="2">
        <v>1.76</v>
      </c>
      <c r="U377" s="2">
        <v>1.83</v>
      </c>
    </row>
    <row r="378" spans="1:21" x14ac:dyDescent="0.2">
      <c r="A378" s="6" t="s">
        <v>232</v>
      </c>
      <c r="B378" s="6">
        <v>5.32</v>
      </c>
      <c r="C378" s="6">
        <v>5.16</v>
      </c>
      <c r="D378" s="6">
        <v>5.58</v>
      </c>
      <c r="E378" s="6">
        <v>5.7</v>
      </c>
      <c r="F378" s="6">
        <v>6.78</v>
      </c>
      <c r="G378" s="6">
        <v>6.3</v>
      </c>
      <c r="H378" s="6">
        <v>6.44</v>
      </c>
      <c r="I378" s="6">
        <v>5.94</v>
      </c>
      <c r="J378" s="6">
        <v>6.96</v>
      </c>
      <c r="K378" s="6">
        <v>7.18</v>
      </c>
      <c r="L378" s="6">
        <v>8.68</v>
      </c>
      <c r="M378" s="6">
        <v>8.99</v>
      </c>
      <c r="N378" s="6">
        <v>6.83</v>
      </c>
      <c r="O378" s="6">
        <v>5.32</v>
      </c>
      <c r="P378" s="6">
        <v>8.1199999999999992</v>
      </c>
      <c r="Q378" s="6">
        <v>6.67</v>
      </c>
      <c r="R378" s="6">
        <v>4.6500000000000004</v>
      </c>
      <c r="S378" s="6">
        <v>5.16</v>
      </c>
      <c r="T378" s="6">
        <v>6.64</v>
      </c>
      <c r="U378" s="6">
        <v>4.84</v>
      </c>
    </row>
    <row r="379" spans="1:21" x14ac:dyDescent="0.2">
      <c r="A379" s="2" t="s">
        <v>233</v>
      </c>
      <c r="B379" s="2">
        <v>7.93</v>
      </c>
      <c r="C379" s="2">
        <v>8.35</v>
      </c>
      <c r="D379" s="2">
        <v>9.3000000000000007</v>
      </c>
      <c r="E379" s="2">
        <v>12.06</v>
      </c>
      <c r="F379" s="2">
        <v>14.19</v>
      </c>
      <c r="G379" s="2">
        <v>10.01</v>
      </c>
      <c r="H379" s="2">
        <v>10.42</v>
      </c>
      <c r="I379" s="2">
        <v>10</v>
      </c>
      <c r="J379" s="2">
        <v>12.46</v>
      </c>
      <c r="K379" s="2">
        <v>17.170000000000002</v>
      </c>
      <c r="L379" s="2">
        <v>6.33</v>
      </c>
      <c r="M379" s="2">
        <v>6.51</v>
      </c>
      <c r="N379" s="2">
        <v>6.08</v>
      </c>
      <c r="O379" s="2">
        <v>7.93</v>
      </c>
      <c r="P379" s="2">
        <v>6.55</v>
      </c>
      <c r="Q379" s="2">
        <v>6.5</v>
      </c>
      <c r="R379" s="2">
        <v>5.9</v>
      </c>
      <c r="S379" s="2">
        <v>8.35</v>
      </c>
      <c r="T379" s="2">
        <v>7.87</v>
      </c>
      <c r="U379" s="2">
        <v>7.09</v>
      </c>
    </row>
    <row r="380" spans="1:21" x14ac:dyDescent="0.2">
      <c r="A380" s="7" t="s">
        <v>234</v>
      </c>
      <c r="B380" s="7" t="s">
        <v>1</v>
      </c>
      <c r="C380" s="7" t="s">
        <v>1</v>
      </c>
      <c r="D380" s="7" t="s">
        <v>1</v>
      </c>
      <c r="E380" s="7" t="s">
        <v>1</v>
      </c>
      <c r="F380" s="7" t="s">
        <v>1</v>
      </c>
      <c r="G380" s="7" t="s">
        <v>1</v>
      </c>
      <c r="H380" s="7" t="s">
        <v>1</v>
      </c>
      <c r="I380" s="7" t="s">
        <v>1</v>
      </c>
      <c r="J380" s="7" t="s">
        <v>1</v>
      </c>
      <c r="K380" s="7" t="s">
        <v>1</v>
      </c>
      <c r="L380" s="7" t="s">
        <v>1</v>
      </c>
      <c r="M380" s="7" t="s">
        <v>1</v>
      </c>
      <c r="N380" s="7" t="s">
        <v>1</v>
      </c>
      <c r="O380" s="7" t="s">
        <v>1</v>
      </c>
      <c r="P380" s="7" t="s">
        <v>1</v>
      </c>
      <c r="Q380" s="7" t="s">
        <v>1</v>
      </c>
      <c r="R380" s="7" t="s">
        <v>1</v>
      </c>
      <c r="S380" s="7" t="s">
        <v>1</v>
      </c>
      <c r="T380" s="7" t="s">
        <v>1</v>
      </c>
      <c r="U380" s="7" t="s">
        <v>1</v>
      </c>
    </row>
    <row r="381" spans="1:21" x14ac:dyDescent="0.2">
      <c r="A381" s="2" t="s">
        <v>115</v>
      </c>
      <c r="B381" s="2">
        <v>15.52</v>
      </c>
      <c r="C381" s="2">
        <v>11.45</v>
      </c>
      <c r="D381" s="2">
        <v>12.94</v>
      </c>
      <c r="E381" s="2">
        <v>8.48</v>
      </c>
      <c r="F381" s="2">
        <v>5.36</v>
      </c>
      <c r="G381" s="2">
        <v>7.32</v>
      </c>
      <c r="H381" s="2">
        <v>5.97</v>
      </c>
      <c r="I381" s="2">
        <v>5.43</v>
      </c>
      <c r="J381" s="2">
        <v>5.19</v>
      </c>
      <c r="K381" s="2">
        <v>16.2</v>
      </c>
      <c r="L381" s="2">
        <v>4.29</v>
      </c>
      <c r="M381" s="2">
        <v>5.09</v>
      </c>
      <c r="N381" s="2">
        <v>4.45</v>
      </c>
      <c r="O381" s="2">
        <v>4.38</v>
      </c>
      <c r="P381" s="2">
        <v>4.0599999999999996</v>
      </c>
      <c r="Q381" s="2">
        <v>3.63</v>
      </c>
      <c r="R381" s="2">
        <v>3.54</v>
      </c>
      <c r="S381" s="2">
        <v>2.83</v>
      </c>
      <c r="T381" s="2">
        <v>3.38</v>
      </c>
      <c r="U381" s="2">
        <v>3.83</v>
      </c>
    </row>
    <row r="382" spans="1:21" x14ac:dyDescent="0.2">
      <c r="A382" s="6" t="s">
        <v>235</v>
      </c>
      <c r="B382" s="6" t="s">
        <v>1</v>
      </c>
      <c r="C382" s="6" t="s">
        <v>1</v>
      </c>
      <c r="D382" s="6" t="s">
        <v>1</v>
      </c>
      <c r="E382" s="6" t="s">
        <v>1</v>
      </c>
      <c r="F382" s="6" t="s">
        <v>1</v>
      </c>
      <c r="G382" s="6" t="s">
        <v>1</v>
      </c>
      <c r="H382" s="6" t="s">
        <v>1</v>
      </c>
      <c r="I382" s="6" t="s">
        <v>1</v>
      </c>
      <c r="J382" s="6" t="s">
        <v>1</v>
      </c>
      <c r="K382" s="6" t="s">
        <v>1</v>
      </c>
      <c r="L382" s="6" t="s">
        <v>1</v>
      </c>
      <c r="M382" s="6" t="s">
        <v>1</v>
      </c>
      <c r="N382" s="6" t="s">
        <v>1</v>
      </c>
      <c r="O382" s="6" t="s">
        <v>1</v>
      </c>
      <c r="P382" s="6" t="s">
        <v>1</v>
      </c>
      <c r="Q382" s="6" t="s">
        <v>1</v>
      </c>
      <c r="R382" s="6" t="s">
        <v>1</v>
      </c>
      <c r="S382" s="6" t="s">
        <v>1</v>
      </c>
      <c r="T382" s="6" t="s">
        <v>1</v>
      </c>
      <c r="U382" s="6" t="s">
        <v>1</v>
      </c>
    </row>
    <row r="383" spans="1:21" x14ac:dyDescent="0.2">
      <c r="A383" s="11" t="s">
        <v>236</v>
      </c>
      <c r="B383" s="11">
        <v>708.1</v>
      </c>
      <c r="C383" s="11">
        <v>666.3</v>
      </c>
      <c r="D383" s="11">
        <v>593.6</v>
      </c>
      <c r="E383" s="11">
        <v>545.4</v>
      </c>
      <c r="F383" s="11">
        <v>496.3</v>
      </c>
      <c r="G383" s="11">
        <v>461.3</v>
      </c>
      <c r="H383" s="11">
        <v>339.6</v>
      </c>
      <c r="I383" s="11">
        <v>271.8</v>
      </c>
      <c r="J383" s="11">
        <v>231.8</v>
      </c>
      <c r="K383" s="11">
        <v>176.1</v>
      </c>
      <c r="L383" s="17" t="s">
        <v>59</v>
      </c>
      <c r="M383" s="17" t="s">
        <v>59</v>
      </c>
      <c r="N383" s="17" t="s">
        <v>59</v>
      </c>
      <c r="O383" s="17" t="s">
        <v>59</v>
      </c>
      <c r="P383" s="17" t="s">
        <v>59</v>
      </c>
      <c r="Q383" s="17" t="s">
        <v>59</v>
      </c>
      <c r="R383" s="17" t="s">
        <v>59</v>
      </c>
      <c r="S383" s="17" t="s">
        <v>59</v>
      </c>
      <c r="T383" s="17" t="s">
        <v>59</v>
      </c>
      <c r="U383" s="17" t="s">
        <v>59</v>
      </c>
    </row>
    <row r="384" spans="1:21" x14ac:dyDescent="0.2">
      <c r="A384" s="6" t="s">
        <v>237</v>
      </c>
      <c r="B384" s="6">
        <v>73.900000000000006</v>
      </c>
      <c r="C384" s="6">
        <v>70.3</v>
      </c>
      <c r="D384" s="6">
        <v>56.4</v>
      </c>
      <c r="E384" s="6">
        <v>50.4</v>
      </c>
      <c r="F384" s="6">
        <v>46</v>
      </c>
      <c r="G384" s="6">
        <v>50.6</v>
      </c>
      <c r="H384" s="6">
        <v>31.8</v>
      </c>
      <c r="I384" s="6">
        <v>24.1</v>
      </c>
      <c r="J384" s="6">
        <v>20.7</v>
      </c>
      <c r="K384" s="6">
        <v>14.2</v>
      </c>
      <c r="L384" s="16" t="s">
        <v>59</v>
      </c>
      <c r="M384" s="16" t="s">
        <v>59</v>
      </c>
      <c r="N384" s="16" t="s">
        <v>59</v>
      </c>
      <c r="O384" s="16" t="s">
        <v>59</v>
      </c>
      <c r="P384" s="16" t="s">
        <v>59</v>
      </c>
      <c r="Q384" s="16" t="s">
        <v>59</v>
      </c>
      <c r="R384" s="16" t="s">
        <v>59</v>
      </c>
      <c r="S384" s="16" t="s">
        <v>59</v>
      </c>
      <c r="T384" s="16" t="s">
        <v>59</v>
      </c>
      <c r="U384" s="16" t="s">
        <v>59</v>
      </c>
    </row>
    <row r="385" spans="1:21" x14ac:dyDescent="0.2">
      <c r="A385" s="2" t="s">
        <v>238</v>
      </c>
      <c r="B385" s="2">
        <v>90.9</v>
      </c>
      <c r="C385" s="2">
        <v>65.7</v>
      </c>
      <c r="D385" s="2">
        <v>72.2</v>
      </c>
      <c r="E385" s="2">
        <v>62.7</v>
      </c>
      <c r="F385" s="2">
        <v>53.1</v>
      </c>
      <c r="G385" s="2">
        <v>46.5</v>
      </c>
      <c r="H385" s="2">
        <v>32.799999999999997</v>
      </c>
      <c r="I385" s="2">
        <v>26</v>
      </c>
      <c r="J385" s="2">
        <v>21.9</v>
      </c>
      <c r="K385" s="2">
        <v>15.7</v>
      </c>
      <c r="L385" s="15" t="s">
        <v>59</v>
      </c>
      <c r="M385" s="15" t="s">
        <v>59</v>
      </c>
      <c r="N385" s="15" t="s">
        <v>59</v>
      </c>
      <c r="O385" s="15" t="s">
        <v>59</v>
      </c>
      <c r="P385" s="15" t="s">
        <v>59</v>
      </c>
      <c r="Q385" s="15" t="s">
        <v>59</v>
      </c>
      <c r="R385" s="15" t="s">
        <v>59</v>
      </c>
      <c r="S385" s="15" t="s">
        <v>59</v>
      </c>
      <c r="T385" s="15" t="s">
        <v>59</v>
      </c>
      <c r="U385" s="15" t="s">
        <v>59</v>
      </c>
    </row>
    <row r="386" spans="1:21" x14ac:dyDescent="0.2">
      <c r="A386" s="6" t="s">
        <v>239</v>
      </c>
      <c r="B386" s="6">
        <v>86.4</v>
      </c>
      <c r="C386" s="6">
        <v>82.9</v>
      </c>
      <c r="D386" s="6">
        <v>71.3</v>
      </c>
      <c r="E386" s="6">
        <v>62.7</v>
      </c>
      <c r="F386" s="6">
        <v>55.1</v>
      </c>
      <c r="G386" s="6">
        <v>47.3</v>
      </c>
      <c r="H386" s="6">
        <v>33.4</v>
      </c>
      <c r="I386" s="6">
        <v>25.8</v>
      </c>
      <c r="J386" s="6">
        <v>22.2</v>
      </c>
      <c r="K386" s="6">
        <v>16.3</v>
      </c>
      <c r="L386" s="16" t="s">
        <v>59</v>
      </c>
      <c r="M386" s="16" t="s">
        <v>59</v>
      </c>
      <c r="N386" s="16" t="s">
        <v>59</v>
      </c>
      <c r="O386" s="16" t="s">
        <v>59</v>
      </c>
      <c r="P386" s="16" t="s">
        <v>59</v>
      </c>
      <c r="Q386" s="16" t="s">
        <v>59</v>
      </c>
      <c r="R386" s="16" t="s">
        <v>59</v>
      </c>
      <c r="S386" s="16" t="s">
        <v>59</v>
      </c>
      <c r="T386" s="16" t="s">
        <v>59</v>
      </c>
      <c r="U386" s="16" t="s">
        <v>59</v>
      </c>
    </row>
    <row r="387" spans="1:21" x14ac:dyDescent="0.2">
      <c r="A387" s="2" t="s">
        <v>240</v>
      </c>
      <c r="B387" s="2">
        <v>82.4</v>
      </c>
      <c r="C387" s="2">
        <v>79.400000000000006</v>
      </c>
      <c r="D387" s="2">
        <v>67.599999999999994</v>
      </c>
      <c r="E387" s="2">
        <v>61.8</v>
      </c>
      <c r="F387" s="2">
        <v>54.4</v>
      </c>
      <c r="G387" s="2">
        <v>47.4</v>
      </c>
      <c r="H387" s="2">
        <v>33.9</v>
      </c>
      <c r="I387" s="2">
        <v>26.1</v>
      </c>
      <c r="J387" s="2">
        <v>21.8</v>
      </c>
      <c r="K387" s="2">
        <v>16.5</v>
      </c>
      <c r="L387" s="15" t="s">
        <v>59</v>
      </c>
      <c r="M387" s="15" t="s">
        <v>59</v>
      </c>
      <c r="N387" s="15" t="s">
        <v>59</v>
      </c>
      <c r="O387" s="15" t="s">
        <v>59</v>
      </c>
      <c r="P387" s="15" t="s">
        <v>59</v>
      </c>
      <c r="Q387" s="15" t="s">
        <v>59</v>
      </c>
      <c r="R387" s="15" t="s">
        <v>59</v>
      </c>
      <c r="S387" s="15" t="s">
        <v>59</v>
      </c>
      <c r="T387" s="15" t="s">
        <v>59</v>
      </c>
      <c r="U387" s="15" t="s">
        <v>59</v>
      </c>
    </row>
    <row r="388" spans="1:21" x14ac:dyDescent="0.2">
      <c r="A388" s="6" t="s">
        <v>241</v>
      </c>
      <c r="B388" s="6">
        <v>76</v>
      </c>
      <c r="C388" s="6">
        <v>74.7</v>
      </c>
      <c r="D388" s="6">
        <v>63.2</v>
      </c>
      <c r="E388" s="6">
        <v>58</v>
      </c>
      <c r="F388" s="6">
        <v>53</v>
      </c>
      <c r="G388" s="6">
        <v>46</v>
      </c>
      <c r="H388" s="6">
        <v>33.6</v>
      </c>
      <c r="I388" s="6">
        <v>26.5</v>
      </c>
      <c r="J388" s="6">
        <v>22</v>
      </c>
      <c r="K388" s="6">
        <v>16</v>
      </c>
      <c r="L388" s="16" t="s">
        <v>59</v>
      </c>
      <c r="M388" s="16" t="s">
        <v>59</v>
      </c>
      <c r="N388" s="16" t="s">
        <v>59</v>
      </c>
      <c r="O388" s="16" t="s">
        <v>59</v>
      </c>
      <c r="P388" s="16" t="s">
        <v>59</v>
      </c>
      <c r="Q388" s="16" t="s">
        <v>59</v>
      </c>
      <c r="R388" s="16" t="s">
        <v>59</v>
      </c>
      <c r="S388" s="16" t="s">
        <v>59</v>
      </c>
      <c r="T388" s="16" t="s">
        <v>59</v>
      </c>
      <c r="U388" s="16" t="s">
        <v>59</v>
      </c>
    </row>
    <row r="389" spans="1:21" x14ac:dyDescent="0.2">
      <c r="A389" s="2" t="s">
        <v>242</v>
      </c>
      <c r="B389" s="2">
        <v>298.39999999999998</v>
      </c>
      <c r="C389" s="2">
        <v>293.2</v>
      </c>
      <c r="D389" s="2">
        <v>262.8</v>
      </c>
      <c r="E389" s="2">
        <v>249.7</v>
      </c>
      <c r="F389" s="2">
        <v>234.7</v>
      </c>
      <c r="G389" s="2">
        <v>223.5</v>
      </c>
      <c r="H389" s="2">
        <v>174.1</v>
      </c>
      <c r="I389" s="2">
        <v>143.19999999999999</v>
      </c>
      <c r="J389" s="2">
        <v>123.4</v>
      </c>
      <c r="K389" s="2">
        <v>97.4</v>
      </c>
      <c r="L389" s="15" t="s">
        <v>59</v>
      </c>
      <c r="M389" s="15" t="s">
        <v>59</v>
      </c>
      <c r="N389" s="15" t="s">
        <v>59</v>
      </c>
      <c r="O389" s="15" t="s">
        <v>59</v>
      </c>
      <c r="P389" s="15" t="s">
        <v>59</v>
      </c>
      <c r="Q389" s="15" t="s">
        <v>59</v>
      </c>
      <c r="R389" s="15" t="s">
        <v>59</v>
      </c>
      <c r="S389" s="15" t="s">
        <v>59</v>
      </c>
      <c r="T389" s="15" t="s">
        <v>59</v>
      </c>
      <c r="U389" s="15" t="s">
        <v>59</v>
      </c>
    </row>
    <row r="390" spans="1:21" x14ac:dyDescent="0.2">
      <c r="A390" s="6" t="s">
        <v>243</v>
      </c>
      <c r="B390" s="6">
        <v>749.8</v>
      </c>
      <c r="C390" s="6">
        <v>718.9</v>
      </c>
      <c r="D390" s="6">
        <v>675.7</v>
      </c>
      <c r="E390" s="6">
        <v>648</v>
      </c>
      <c r="F390" s="6">
        <v>347.3</v>
      </c>
      <c r="G390" s="6">
        <v>308.60000000000002</v>
      </c>
      <c r="H390" s="6">
        <v>20.8</v>
      </c>
      <c r="I390" s="6">
        <v>14.5</v>
      </c>
      <c r="J390" s="6">
        <v>2</v>
      </c>
      <c r="K390" s="6">
        <v>0.3</v>
      </c>
      <c r="L390" s="6">
        <v>797.8</v>
      </c>
      <c r="M390" s="6">
        <v>783.4</v>
      </c>
      <c r="N390" s="6">
        <v>772.1</v>
      </c>
      <c r="O390" s="6">
        <v>749.8</v>
      </c>
      <c r="P390" s="6">
        <v>754.3</v>
      </c>
      <c r="Q390" s="6">
        <v>742.7</v>
      </c>
      <c r="R390" s="6">
        <v>731.1</v>
      </c>
      <c r="S390" s="6">
        <v>718.9</v>
      </c>
      <c r="T390" s="6">
        <v>717</v>
      </c>
      <c r="U390" s="6">
        <v>697.5</v>
      </c>
    </row>
    <row r="391" spans="1:2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2">
      <c r="A392" s="6" t="s">
        <v>244</v>
      </c>
      <c r="B392" s="6" t="s">
        <v>1</v>
      </c>
      <c r="C392" s="6" t="s">
        <v>1</v>
      </c>
      <c r="D392" s="6" t="s">
        <v>1</v>
      </c>
      <c r="E392" s="6" t="s">
        <v>1</v>
      </c>
      <c r="F392" s="6" t="s">
        <v>1</v>
      </c>
      <c r="G392" s="6" t="s">
        <v>1</v>
      </c>
      <c r="H392" s="6" t="s">
        <v>1</v>
      </c>
      <c r="I392" s="6" t="s">
        <v>1</v>
      </c>
      <c r="J392" s="6" t="s">
        <v>1</v>
      </c>
      <c r="K392" s="6" t="s">
        <v>1</v>
      </c>
      <c r="L392" s="6" t="s">
        <v>1</v>
      </c>
      <c r="M392" s="6" t="s">
        <v>1</v>
      </c>
      <c r="N392" s="6" t="s">
        <v>1</v>
      </c>
      <c r="O392" s="6" t="s">
        <v>1</v>
      </c>
      <c r="P392" s="6" t="s">
        <v>1</v>
      </c>
      <c r="Q392" s="6" t="s">
        <v>1</v>
      </c>
      <c r="R392" s="6" t="s">
        <v>1</v>
      </c>
      <c r="S392" s="6" t="s">
        <v>1</v>
      </c>
      <c r="T392" s="6" t="s">
        <v>1</v>
      </c>
      <c r="U392" s="6" t="s">
        <v>1</v>
      </c>
    </row>
    <row r="393" spans="1:21" x14ac:dyDescent="0.2">
      <c r="A393" s="2" t="s">
        <v>245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2">
      <c r="A394" s="7" t="s">
        <v>246</v>
      </c>
      <c r="B394" s="7" t="s">
        <v>1</v>
      </c>
      <c r="C394" s="7" t="s">
        <v>1</v>
      </c>
      <c r="D394" s="7" t="s">
        <v>1</v>
      </c>
      <c r="E394" s="7" t="s">
        <v>1</v>
      </c>
      <c r="F394" s="7" t="s">
        <v>1</v>
      </c>
      <c r="G394" s="7" t="s">
        <v>1</v>
      </c>
      <c r="H394" s="7" t="s">
        <v>1</v>
      </c>
      <c r="I394" s="7" t="s">
        <v>1</v>
      </c>
      <c r="J394" s="7" t="s">
        <v>1</v>
      </c>
      <c r="K394" s="7" t="s">
        <v>1</v>
      </c>
      <c r="L394" s="7" t="s">
        <v>1</v>
      </c>
      <c r="M394" s="7" t="s">
        <v>1</v>
      </c>
      <c r="N394" s="7" t="s">
        <v>1</v>
      </c>
      <c r="O394" s="7" t="s">
        <v>1</v>
      </c>
      <c r="P394" s="7" t="s">
        <v>1</v>
      </c>
      <c r="Q394" s="7" t="s">
        <v>1</v>
      </c>
      <c r="R394" s="7" t="s">
        <v>1</v>
      </c>
      <c r="S394" s="7" t="s">
        <v>1</v>
      </c>
      <c r="T394" s="7" t="s">
        <v>1</v>
      </c>
      <c r="U394" s="7" t="s">
        <v>1</v>
      </c>
    </row>
    <row r="395" spans="1:21" x14ac:dyDescent="0.2">
      <c r="A395" s="2" t="s">
        <v>247</v>
      </c>
      <c r="B395" s="2">
        <v>10.82</v>
      </c>
      <c r="C395" s="2">
        <v>20.99</v>
      </c>
      <c r="D395" s="9">
        <v>-23.11</v>
      </c>
      <c r="E395" s="9">
        <v>-10.11</v>
      </c>
      <c r="F395" s="9">
        <v>-45.53</v>
      </c>
      <c r="G395" s="2">
        <v>24.13</v>
      </c>
      <c r="H395" s="2">
        <v>21.95</v>
      </c>
      <c r="I395" s="2">
        <v>8.8800000000000008</v>
      </c>
      <c r="J395" s="2">
        <v>22.15</v>
      </c>
      <c r="K395" s="9">
        <v>-8.7799999999999994</v>
      </c>
      <c r="L395" s="2">
        <v>13.71</v>
      </c>
      <c r="M395" s="2">
        <v>18.48</v>
      </c>
      <c r="N395" s="2">
        <v>4.51</v>
      </c>
      <c r="O395" s="2">
        <v>9.33</v>
      </c>
      <c r="P395" s="9">
        <v>-11.11</v>
      </c>
      <c r="Q395" s="2">
        <v>10.38</v>
      </c>
      <c r="R395" s="2">
        <v>2.21</v>
      </c>
      <c r="S395" s="2">
        <v>7.25</v>
      </c>
      <c r="T395" s="2">
        <v>8.14</v>
      </c>
      <c r="U395" s="2">
        <v>7.22</v>
      </c>
    </row>
    <row r="396" spans="1:21" x14ac:dyDescent="0.2">
      <c r="A396" s="7" t="s">
        <v>248</v>
      </c>
      <c r="B396" s="7">
        <v>104.61</v>
      </c>
      <c r="C396" s="7">
        <v>160.82</v>
      </c>
      <c r="D396" s="7">
        <v>133.1</v>
      </c>
      <c r="E396" s="7">
        <v>60.24</v>
      </c>
      <c r="F396" s="7">
        <v>50.25</v>
      </c>
      <c r="G396" s="7">
        <v>40.700000000000003</v>
      </c>
      <c r="H396" s="7">
        <v>29</v>
      </c>
      <c r="I396" s="7">
        <v>21.7</v>
      </c>
      <c r="J396" s="7">
        <v>14.5</v>
      </c>
      <c r="K396" s="7">
        <v>10.220000000000001</v>
      </c>
      <c r="L396" s="7">
        <v>27.59</v>
      </c>
      <c r="M396" s="7">
        <v>27.11</v>
      </c>
      <c r="N396" s="7">
        <v>27.15</v>
      </c>
      <c r="O396" s="7">
        <v>26.37</v>
      </c>
      <c r="P396" s="7">
        <v>26.25</v>
      </c>
      <c r="Q396" s="7">
        <v>26.03</v>
      </c>
      <c r="R396" s="7">
        <v>25.96</v>
      </c>
      <c r="S396" s="7">
        <v>92.8</v>
      </c>
      <c r="T396" s="7">
        <v>23.57</v>
      </c>
      <c r="U396" s="7">
        <v>22.69</v>
      </c>
    </row>
    <row r="397" spans="1:21" x14ac:dyDescent="0.2">
      <c r="A397" s="2" t="s">
        <v>249</v>
      </c>
      <c r="B397" s="2">
        <v>102.47</v>
      </c>
      <c r="C397" s="2">
        <v>159.02000000000001</v>
      </c>
      <c r="D397" s="2">
        <v>131.6</v>
      </c>
      <c r="E397" s="2">
        <v>58.99</v>
      </c>
      <c r="F397" s="2">
        <v>48.8</v>
      </c>
      <c r="G397" s="2">
        <v>40.39</v>
      </c>
      <c r="H397" s="2">
        <v>29</v>
      </c>
      <c r="I397" s="2">
        <v>21.7</v>
      </c>
      <c r="J397" s="2">
        <v>14.5</v>
      </c>
      <c r="K397" s="2">
        <v>10.220000000000001</v>
      </c>
      <c r="L397" s="2">
        <v>27.08</v>
      </c>
      <c r="M397" s="2">
        <v>26.55</v>
      </c>
      <c r="N397" s="2">
        <v>26.54</v>
      </c>
      <c r="O397" s="2">
        <v>25.81</v>
      </c>
      <c r="P397" s="2">
        <v>25.72</v>
      </c>
      <c r="Q397" s="2">
        <v>25.5</v>
      </c>
      <c r="R397" s="2">
        <v>25.44</v>
      </c>
      <c r="S397" s="2">
        <v>92.32</v>
      </c>
      <c r="T397" s="2">
        <v>23.13</v>
      </c>
      <c r="U397" s="2">
        <v>22.25</v>
      </c>
    </row>
    <row r="398" spans="1:21" x14ac:dyDescent="0.2">
      <c r="A398" s="6" t="s">
        <v>303</v>
      </c>
      <c r="B398" s="6">
        <v>2.14</v>
      </c>
      <c r="C398" s="6">
        <v>1.8</v>
      </c>
      <c r="D398" s="6">
        <v>1.5</v>
      </c>
      <c r="E398" s="6">
        <v>1.25</v>
      </c>
      <c r="F398" s="6">
        <v>1.44</v>
      </c>
      <c r="G398" s="6">
        <v>0.31</v>
      </c>
      <c r="H398" s="16" t="s">
        <v>59</v>
      </c>
      <c r="I398" s="16" t="s">
        <v>59</v>
      </c>
      <c r="J398" s="16" t="s">
        <v>59</v>
      </c>
      <c r="K398" s="16" t="s">
        <v>59</v>
      </c>
      <c r="L398" s="6">
        <v>0.51</v>
      </c>
      <c r="M398" s="6">
        <v>0.56000000000000005</v>
      </c>
      <c r="N398" s="6">
        <v>0.61</v>
      </c>
      <c r="O398" s="6">
        <v>0.56000000000000005</v>
      </c>
      <c r="P398" s="6">
        <v>0.53</v>
      </c>
      <c r="Q398" s="6">
        <v>0.53</v>
      </c>
      <c r="R398" s="6">
        <v>0.52</v>
      </c>
      <c r="S398" s="6">
        <v>0.48</v>
      </c>
      <c r="T398" s="6">
        <v>0.44</v>
      </c>
      <c r="U398" s="6">
        <v>0.44</v>
      </c>
    </row>
    <row r="399" spans="1:21" x14ac:dyDescent="0.2">
      <c r="A399" s="11" t="s">
        <v>250</v>
      </c>
      <c r="B399" s="11">
        <v>-1.05</v>
      </c>
      <c r="C399" s="11">
        <v>-9.07</v>
      </c>
      <c r="D399" s="11">
        <v>-5.01</v>
      </c>
      <c r="E399" s="11">
        <v>-10.38</v>
      </c>
      <c r="F399" s="11">
        <v>-1.36</v>
      </c>
      <c r="G399" s="11">
        <v>-6.06</v>
      </c>
      <c r="H399" s="11">
        <v>0.79</v>
      </c>
      <c r="I399" s="11">
        <v>146.33000000000001</v>
      </c>
      <c r="J399" s="11">
        <v>-0.52</v>
      </c>
      <c r="K399" s="11">
        <v>-0.73</v>
      </c>
      <c r="L399" s="11">
        <v>5.45</v>
      </c>
      <c r="M399" s="11">
        <v>4.43</v>
      </c>
      <c r="N399" s="11">
        <v>-0.64</v>
      </c>
      <c r="O399" s="11">
        <v>3.07</v>
      </c>
      <c r="P399" s="11">
        <v>-5.43</v>
      </c>
      <c r="Q399" s="11">
        <v>1.44</v>
      </c>
      <c r="R399" s="11">
        <v>-0.13</v>
      </c>
      <c r="S399" s="11">
        <v>-16.170000000000002</v>
      </c>
      <c r="T399" s="11">
        <v>4.3600000000000003</v>
      </c>
      <c r="U399" s="11">
        <v>0.82</v>
      </c>
    </row>
    <row r="400" spans="1:21" x14ac:dyDescent="0.2">
      <c r="A400" s="6" t="s">
        <v>251</v>
      </c>
      <c r="B400" s="13">
        <v>-1.05</v>
      </c>
      <c r="C400" s="13">
        <v>-9.07</v>
      </c>
      <c r="D400" s="13">
        <v>-5.01</v>
      </c>
      <c r="E400" s="13">
        <v>-10.38</v>
      </c>
      <c r="F400" s="13">
        <v>-1.36</v>
      </c>
      <c r="G400" s="13">
        <v>-6.06</v>
      </c>
      <c r="H400" s="6">
        <v>0.79</v>
      </c>
      <c r="I400" s="6">
        <v>146.33000000000001</v>
      </c>
      <c r="J400" s="13">
        <v>-0.52</v>
      </c>
      <c r="K400" s="13">
        <v>-0.73</v>
      </c>
      <c r="L400" s="6">
        <v>5.45</v>
      </c>
      <c r="M400" s="6">
        <v>4.43</v>
      </c>
      <c r="N400" s="13">
        <v>-0.64</v>
      </c>
      <c r="O400" s="6">
        <v>3.07</v>
      </c>
      <c r="P400" s="13">
        <v>-5.43</v>
      </c>
      <c r="Q400" s="6">
        <v>1.44</v>
      </c>
      <c r="R400" s="13">
        <v>-0.13</v>
      </c>
      <c r="S400" s="13">
        <v>-16.170000000000002</v>
      </c>
      <c r="T400" s="6">
        <v>4.3600000000000003</v>
      </c>
      <c r="U400" s="6">
        <v>0.82</v>
      </c>
    </row>
    <row r="401" spans="1:21" x14ac:dyDescent="0.2">
      <c r="A401" s="2" t="s">
        <v>252</v>
      </c>
      <c r="B401" s="2">
        <v>126.22</v>
      </c>
      <c r="C401" s="2">
        <v>17.36</v>
      </c>
      <c r="D401" s="2">
        <v>17.170000000000002</v>
      </c>
      <c r="E401" s="2">
        <v>62.72</v>
      </c>
      <c r="F401" s="2">
        <v>62.54</v>
      </c>
      <c r="G401" s="2">
        <v>48.26</v>
      </c>
      <c r="H401" s="2">
        <v>7.74</v>
      </c>
      <c r="I401" s="9">
        <v>-120.67</v>
      </c>
      <c r="J401" s="2">
        <v>4.99</v>
      </c>
      <c r="K401" s="2">
        <v>28.87</v>
      </c>
      <c r="L401" s="2">
        <v>27.42</v>
      </c>
      <c r="M401" s="2">
        <v>27.94</v>
      </c>
      <c r="N401" s="2">
        <v>27.57</v>
      </c>
      <c r="O401" s="2">
        <v>28.27</v>
      </c>
      <c r="P401" s="2">
        <v>51.38</v>
      </c>
      <c r="Q401" s="2">
        <v>24.18</v>
      </c>
      <c r="R401" s="2">
        <v>22.39</v>
      </c>
      <c r="S401" s="9">
        <v>-45.6</v>
      </c>
      <c r="T401" s="2">
        <v>20.56</v>
      </c>
      <c r="U401" s="2">
        <v>21.55</v>
      </c>
    </row>
    <row r="402" spans="1:21" x14ac:dyDescent="0.2">
      <c r="A402" s="6" t="s">
        <v>253</v>
      </c>
      <c r="B402" s="6">
        <v>240.59</v>
      </c>
      <c r="C402" s="6">
        <v>190.09</v>
      </c>
      <c r="D402" s="6">
        <v>122.15</v>
      </c>
      <c r="E402" s="6">
        <v>102.47</v>
      </c>
      <c r="F402" s="6">
        <v>65.900000000000006</v>
      </c>
      <c r="G402" s="6">
        <v>107.02</v>
      </c>
      <c r="H402" s="6">
        <v>59.48</v>
      </c>
      <c r="I402" s="6">
        <v>56.25</v>
      </c>
      <c r="J402" s="6">
        <v>41.11</v>
      </c>
      <c r="K402" s="6">
        <v>29.58</v>
      </c>
      <c r="L402" s="6">
        <v>74.17</v>
      </c>
      <c r="M402" s="6">
        <v>77.959999999999994</v>
      </c>
      <c r="N402" s="6">
        <v>58.59</v>
      </c>
      <c r="O402" s="6">
        <v>67.040000000000006</v>
      </c>
      <c r="P402" s="6">
        <v>61.09</v>
      </c>
      <c r="Q402" s="6">
        <v>62.03</v>
      </c>
      <c r="R402" s="6">
        <v>50.43</v>
      </c>
      <c r="S402" s="6">
        <v>38.29</v>
      </c>
      <c r="T402" s="6">
        <v>56.63</v>
      </c>
      <c r="U402" s="6">
        <v>52.29</v>
      </c>
    </row>
    <row r="403" spans="1:21" x14ac:dyDescent="0.2">
      <c r="A403" s="11" t="s">
        <v>254</v>
      </c>
      <c r="B403" s="11">
        <v>-69.44</v>
      </c>
      <c r="C403" s="11">
        <v>-57.96</v>
      </c>
      <c r="D403" s="11">
        <v>-45.41</v>
      </c>
      <c r="E403" s="11">
        <v>-44.07</v>
      </c>
      <c r="F403" s="11">
        <v>-28.61</v>
      </c>
      <c r="G403" s="11">
        <v>-17.45</v>
      </c>
      <c r="H403" s="11">
        <v>25.92</v>
      </c>
      <c r="I403" s="11">
        <v>14.62</v>
      </c>
      <c r="J403" s="11">
        <v>13.17</v>
      </c>
      <c r="K403" s="11">
        <v>11.68</v>
      </c>
      <c r="L403" s="11">
        <v>-11.17</v>
      </c>
      <c r="M403" s="11">
        <v>-12.96</v>
      </c>
      <c r="N403" s="11">
        <v>-27.36</v>
      </c>
      <c r="O403" s="11">
        <v>-21.96</v>
      </c>
      <c r="P403" s="11">
        <v>-19.23</v>
      </c>
      <c r="Q403" s="11">
        <v>-8.49</v>
      </c>
      <c r="R403" s="11">
        <v>-19.760000000000002</v>
      </c>
      <c r="S403" s="11">
        <v>3.26</v>
      </c>
      <c r="T403" s="11">
        <v>-28.23</v>
      </c>
      <c r="U403" s="11">
        <v>-9.91</v>
      </c>
    </row>
    <row r="404" spans="1:21" x14ac:dyDescent="0.2">
      <c r="A404" s="6" t="s">
        <v>255</v>
      </c>
      <c r="B404" s="13">
        <v>-2.84</v>
      </c>
      <c r="C404" s="13">
        <v>-2.97</v>
      </c>
      <c r="D404" s="6">
        <v>9.14</v>
      </c>
      <c r="E404" s="13">
        <v>-4.1900000000000004</v>
      </c>
      <c r="F404" s="6">
        <v>1.01</v>
      </c>
      <c r="G404" s="6">
        <v>10.73</v>
      </c>
      <c r="H404" s="6">
        <v>5.53</v>
      </c>
      <c r="I404" s="6">
        <v>6.42</v>
      </c>
      <c r="J404" s="6">
        <v>2.97</v>
      </c>
      <c r="K404" s="6">
        <v>0.78</v>
      </c>
      <c r="L404" s="6">
        <v>0.59</v>
      </c>
      <c r="M404" s="13">
        <v>-2.92</v>
      </c>
      <c r="N404" s="6">
        <v>1.4</v>
      </c>
      <c r="O404" s="13">
        <v>-2.94</v>
      </c>
      <c r="P404" s="13">
        <v>-0.83</v>
      </c>
      <c r="Q404" s="13">
        <v>-1.46</v>
      </c>
      <c r="R404" s="6">
        <v>2.39</v>
      </c>
      <c r="S404" s="13">
        <v>-2.96</v>
      </c>
      <c r="T404" s="6">
        <v>0.44</v>
      </c>
      <c r="U404" s="13">
        <v>-3.81</v>
      </c>
    </row>
    <row r="405" spans="1:21" x14ac:dyDescent="0.2">
      <c r="A405" s="2" t="s">
        <v>112</v>
      </c>
      <c r="B405" s="9">
        <v>-0.61</v>
      </c>
      <c r="C405" s="9">
        <v>-1.22</v>
      </c>
      <c r="D405" s="9">
        <v>-0.33</v>
      </c>
      <c r="E405" s="9">
        <v>-0.96</v>
      </c>
      <c r="F405" s="9">
        <v>-0.67</v>
      </c>
      <c r="G405" s="9">
        <v>-0.47</v>
      </c>
      <c r="H405" s="9">
        <v>-0.49</v>
      </c>
      <c r="I405" s="9">
        <v>-0.45</v>
      </c>
      <c r="J405" s="9">
        <v>-0.26</v>
      </c>
      <c r="K405" s="9">
        <v>-0.01</v>
      </c>
      <c r="L405" s="9">
        <v>-0.28000000000000003</v>
      </c>
      <c r="M405" s="9">
        <v>-0.72</v>
      </c>
      <c r="N405" s="2">
        <v>0.7</v>
      </c>
      <c r="O405" s="9">
        <v>-0.87</v>
      </c>
      <c r="P405" s="2">
        <v>0.05</v>
      </c>
      <c r="Q405" s="9">
        <v>-0.12</v>
      </c>
      <c r="R405" s="2">
        <v>0.33</v>
      </c>
      <c r="S405" s="9">
        <v>-0.8</v>
      </c>
      <c r="T405" s="2">
        <v>7.0000000000000007E-2</v>
      </c>
      <c r="U405" s="9">
        <v>-0.28000000000000003</v>
      </c>
    </row>
    <row r="406" spans="1:21" x14ac:dyDescent="0.2">
      <c r="A406" s="6" t="s">
        <v>116</v>
      </c>
      <c r="B406" s="6">
        <v>3.36</v>
      </c>
      <c r="C406" s="6">
        <v>0.69</v>
      </c>
      <c r="D406" s="6">
        <v>3.54</v>
      </c>
      <c r="E406" s="13">
        <v>-6.45</v>
      </c>
      <c r="F406" s="6">
        <v>4.63</v>
      </c>
      <c r="G406" s="6">
        <v>4.25</v>
      </c>
      <c r="H406" s="6">
        <v>3.16</v>
      </c>
      <c r="I406" s="6">
        <v>1.24</v>
      </c>
      <c r="J406" s="6">
        <v>0.84</v>
      </c>
      <c r="K406" s="6">
        <v>0.2</v>
      </c>
      <c r="L406" s="6">
        <v>1.55</v>
      </c>
      <c r="M406" s="6">
        <v>0.06</v>
      </c>
      <c r="N406" s="13">
        <v>-2.23</v>
      </c>
      <c r="O406" s="6">
        <v>7.26</v>
      </c>
      <c r="P406" s="13">
        <v>-2.82</v>
      </c>
      <c r="Q406" s="6">
        <v>2.68</v>
      </c>
      <c r="R406" s="13">
        <v>-3.76</v>
      </c>
      <c r="S406" s="6">
        <v>5.75</v>
      </c>
      <c r="T406" s="13">
        <v>-1.1299999999999999</v>
      </c>
      <c r="U406" s="6">
        <v>1.86</v>
      </c>
    </row>
    <row r="407" spans="1:21" x14ac:dyDescent="0.2">
      <c r="A407" s="2" t="s">
        <v>256</v>
      </c>
      <c r="B407" s="2">
        <v>11.12</v>
      </c>
      <c r="C407" s="2">
        <v>12.84</v>
      </c>
      <c r="D407" s="2">
        <v>6.36</v>
      </c>
      <c r="E407" s="2">
        <v>11.38</v>
      </c>
      <c r="F407" s="2">
        <v>1.1599999999999999</v>
      </c>
      <c r="G407" s="2">
        <v>10.66</v>
      </c>
      <c r="H407" s="2">
        <v>13.65</v>
      </c>
      <c r="I407" s="2">
        <v>5.54</v>
      </c>
      <c r="J407" s="2">
        <v>9.26</v>
      </c>
      <c r="K407" s="2">
        <v>10.31</v>
      </c>
      <c r="L407" s="2">
        <v>11.78</v>
      </c>
      <c r="M407" s="2">
        <v>10.130000000000001</v>
      </c>
      <c r="N407" s="2">
        <v>0.69</v>
      </c>
      <c r="O407" s="9">
        <v>-0.02</v>
      </c>
      <c r="P407" s="2">
        <v>5.09</v>
      </c>
      <c r="Q407" s="2">
        <v>5.72</v>
      </c>
      <c r="R407" s="2">
        <v>0.33</v>
      </c>
      <c r="S407" s="2">
        <v>18.71</v>
      </c>
      <c r="T407" s="9">
        <v>-6.5</v>
      </c>
      <c r="U407" s="2">
        <v>1.58</v>
      </c>
    </row>
    <row r="408" spans="1:21" x14ac:dyDescent="0.2">
      <c r="A408" s="6" t="s">
        <v>257</v>
      </c>
      <c r="B408" s="13">
        <v>-80.47</v>
      </c>
      <c r="C408" s="13">
        <v>-67.290000000000006</v>
      </c>
      <c r="D408" s="13">
        <v>-64.12</v>
      </c>
      <c r="E408" s="13">
        <v>-43.84</v>
      </c>
      <c r="F408" s="13">
        <v>-34.729999999999997</v>
      </c>
      <c r="G408" s="13">
        <v>-42.61</v>
      </c>
      <c r="H408" s="6">
        <v>4.07</v>
      </c>
      <c r="I408" s="6">
        <v>1.88</v>
      </c>
      <c r="J408" s="6">
        <v>0.37</v>
      </c>
      <c r="K408" s="6">
        <v>0.41</v>
      </c>
      <c r="L408" s="13">
        <v>-24.82</v>
      </c>
      <c r="M408" s="13">
        <v>-19.52</v>
      </c>
      <c r="N408" s="13">
        <v>-27.94</v>
      </c>
      <c r="O408" s="13">
        <v>-25.39</v>
      </c>
      <c r="P408" s="13">
        <v>-20.71</v>
      </c>
      <c r="Q408" s="13">
        <v>-15.3</v>
      </c>
      <c r="R408" s="13">
        <v>-19.05</v>
      </c>
      <c r="S408" s="13">
        <v>-17.45</v>
      </c>
      <c r="T408" s="13">
        <v>-21.11</v>
      </c>
      <c r="U408" s="13">
        <v>-9.27</v>
      </c>
    </row>
    <row r="409" spans="1:21" x14ac:dyDescent="0.2">
      <c r="A409" s="11" t="s">
        <v>258</v>
      </c>
      <c r="B409" s="11">
        <v>171.16</v>
      </c>
      <c r="C409" s="11">
        <v>132.13999999999999</v>
      </c>
      <c r="D409" s="11">
        <v>76.739999999999995</v>
      </c>
      <c r="E409" s="11">
        <v>58.4</v>
      </c>
      <c r="F409" s="11">
        <v>37.29</v>
      </c>
      <c r="G409" s="11">
        <v>89.57</v>
      </c>
      <c r="H409" s="11">
        <v>85.4</v>
      </c>
      <c r="I409" s="11">
        <v>70.88</v>
      </c>
      <c r="J409" s="11">
        <v>54.29</v>
      </c>
      <c r="K409" s="11">
        <v>41.26</v>
      </c>
      <c r="L409" s="11">
        <v>63</v>
      </c>
      <c r="M409" s="11">
        <v>65</v>
      </c>
      <c r="N409" s="11">
        <v>31.22</v>
      </c>
      <c r="O409" s="11">
        <v>45.08</v>
      </c>
      <c r="P409" s="11">
        <v>41.86</v>
      </c>
      <c r="Q409" s="11">
        <v>53.55</v>
      </c>
      <c r="R409" s="11">
        <v>30.67</v>
      </c>
      <c r="S409" s="11">
        <v>41.55</v>
      </c>
      <c r="T409" s="11">
        <v>28.4</v>
      </c>
      <c r="U409" s="11">
        <v>42.37</v>
      </c>
    </row>
    <row r="410" spans="1:21" x14ac:dyDescent="0.2">
      <c r="A410" s="6" t="s">
        <v>35</v>
      </c>
      <c r="B410" s="6">
        <v>29.53</v>
      </c>
      <c r="C410" s="6">
        <v>72.19</v>
      </c>
      <c r="D410" s="6">
        <v>31.4</v>
      </c>
      <c r="E410" s="6">
        <v>56.63</v>
      </c>
      <c r="F410" s="13">
        <v>-58.37</v>
      </c>
      <c r="G410" s="6">
        <v>4.8899999999999997</v>
      </c>
      <c r="H410" s="6">
        <v>20.48</v>
      </c>
      <c r="I410" s="6">
        <v>30.57</v>
      </c>
      <c r="J410" s="6">
        <v>31.57</v>
      </c>
      <c r="K410" s="6">
        <v>203.72</v>
      </c>
      <c r="L410" s="6">
        <v>50.49</v>
      </c>
      <c r="M410" s="6">
        <v>21.39</v>
      </c>
      <c r="N410" s="6">
        <v>1.82</v>
      </c>
      <c r="O410" s="6">
        <v>8.51</v>
      </c>
      <c r="P410" s="6">
        <v>47.4</v>
      </c>
      <c r="Q410" s="6">
        <v>26.37</v>
      </c>
      <c r="R410" s="6">
        <v>54.72</v>
      </c>
      <c r="S410" s="6">
        <v>85.41</v>
      </c>
      <c r="T410" s="6">
        <v>48.14</v>
      </c>
      <c r="U410" s="6">
        <v>55.82</v>
      </c>
    </row>
    <row r="411" spans="1:21" x14ac:dyDescent="0.2">
      <c r="A411" s="11" t="s">
        <v>259</v>
      </c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</row>
    <row r="412" spans="1:21" x14ac:dyDescent="0.2">
      <c r="A412" s="7" t="s">
        <v>138</v>
      </c>
      <c r="B412" s="7">
        <v>-135.5</v>
      </c>
      <c r="C412" s="7">
        <v>-146.16999999999999</v>
      </c>
      <c r="D412" s="7">
        <v>-142.56</v>
      </c>
      <c r="E412" s="7">
        <v>-101.5</v>
      </c>
      <c r="F412" s="7">
        <v>-69.040000000000006</v>
      </c>
      <c r="G412" s="7">
        <v>-106.51</v>
      </c>
      <c r="H412" s="7">
        <v>-87.53</v>
      </c>
      <c r="I412" s="7">
        <v>-61.53</v>
      </c>
      <c r="J412" s="7">
        <v>-54.43</v>
      </c>
      <c r="K412" s="7">
        <v>-32.119999999999997</v>
      </c>
      <c r="L412" s="7">
        <v>-39.26</v>
      </c>
      <c r="M412" s="7">
        <v>-38.090000000000003</v>
      </c>
      <c r="N412" s="7">
        <v>-29.35</v>
      </c>
      <c r="O412" s="7">
        <v>-34.700000000000003</v>
      </c>
      <c r="P412" s="7">
        <v>-34.81</v>
      </c>
      <c r="Q412" s="7">
        <v>-32.94</v>
      </c>
      <c r="R412" s="7">
        <v>-33.049999999999997</v>
      </c>
      <c r="S412" s="7">
        <v>-33.130000000000003</v>
      </c>
      <c r="T412" s="7">
        <v>-38.28</v>
      </c>
      <c r="U412" s="7">
        <v>-40.43</v>
      </c>
    </row>
    <row r="413" spans="1:21" x14ac:dyDescent="0.2">
      <c r="A413" s="2" t="s">
        <v>260</v>
      </c>
      <c r="B413" s="9">
        <v>-135.5</v>
      </c>
      <c r="C413" s="9">
        <v>-146.16999999999999</v>
      </c>
      <c r="D413" s="9">
        <v>-142.56</v>
      </c>
      <c r="E413" s="9">
        <v>-101.5</v>
      </c>
      <c r="F413" s="9">
        <v>-69.040000000000006</v>
      </c>
      <c r="G413" s="9">
        <v>-106.51</v>
      </c>
      <c r="H413" s="9">
        <v>-87.53</v>
      </c>
      <c r="I413" s="9">
        <v>-61.53</v>
      </c>
      <c r="J413" s="9">
        <v>-54.43</v>
      </c>
      <c r="K413" s="9">
        <v>-32.119999999999997</v>
      </c>
      <c r="L413" s="9">
        <v>-39.26</v>
      </c>
      <c r="M413" s="9">
        <v>-38.090000000000003</v>
      </c>
      <c r="N413" s="9">
        <v>-29.35</v>
      </c>
      <c r="O413" s="9">
        <v>-34.700000000000003</v>
      </c>
      <c r="P413" s="9">
        <v>-34.81</v>
      </c>
      <c r="Q413" s="9">
        <v>-32.94</v>
      </c>
      <c r="R413" s="9">
        <v>-33.049999999999997</v>
      </c>
      <c r="S413" s="9">
        <v>-33.130000000000003</v>
      </c>
      <c r="T413" s="9">
        <v>-38.28</v>
      </c>
      <c r="U413" s="9">
        <v>-40.43</v>
      </c>
    </row>
    <row r="414" spans="1:21" x14ac:dyDescent="0.2">
      <c r="A414" s="7" t="s">
        <v>262</v>
      </c>
      <c r="B414" s="7">
        <v>69.42</v>
      </c>
      <c r="C414" s="7">
        <v>13.85</v>
      </c>
      <c r="D414" s="7">
        <v>-0.87</v>
      </c>
      <c r="E414" s="7">
        <v>-43.4</v>
      </c>
      <c r="F414" s="7">
        <v>-0.36</v>
      </c>
      <c r="G414" s="7">
        <v>25.82</v>
      </c>
      <c r="H414" s="7">
        <v>0.92</v>
      </c>
      <c r="I414" s="7">
        <v>-0.41</v>
      </c>
      <c r="J414" s="7">
        <v>-60.33</v>
      </c>
      <c r="K414" s="7">
        <v>-2.4</v>
      </c>
      <c r="L414" s="7">
        <v>0</v>
      </c>
      <c r="M414" s="7">
        <v>0</v>
      </c>
      <c r="N414" s="7">
        <v>0</v>
      </c>
      <c r="O414" s="7">
        <v>0</v>
      </c>
      <c r="P414" s="7">
        <v>3</v>
      </c>
      <c r="Q414" s="7">
        <v>22.06</v>
      </c>
      <c r="R414" s="7">
        <v>44.36</v>
      </c>
      <c r="S414" s="7">
        <v>27.08</v>
      </c>
      <c r="T414" s="7">
        <v>-2.57</v>
      </c>
      <c r="U414" s="7">
        <v>-91.45</v>
      </c>
    </row>
    <row r="415" spans="1:21" x14ac:dyDescent="0.2">
      <c r="A415" s="2" t="s">
        <v>263</v>
      </c>
      <c r="B415" s="2">
        <v>0</v>
      </c>
      <c r="C415" s="2">
        <v>94.71</v>
      </c>
      <c r="D415" s="2">
        <v>0.87</v>
      </c>
      <c r="E415" s="2">
        <v>47.4</v>
      </c>
      <c r="F415" s="2">
        <v>20.36</v>
      </c>
      <c r="G415" s="2">
        <v>1.18</v>
      </c>
      <c r="H415" s="2">
        <v>1.22</v>
      </c>
      <c r="I415" s="2">
        <v>7.86</v>
      </c>
      <c r="J415" s="2">
        <v>61.27</v>
      </c>
      <c r="K415" s="2">
        <v>2.4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2.57</v>
      </c>
      <c r="U415" s="2">
        <v>91.45</v>
      </c>
    </row>
    <row r="416" spans="1:21" x14ac:dyDescent="0.2">
      <c r="A416" s="6" t="s">
        <v>264</v>
      </c>
      <c r="B416" s="6">
        <v>69.42</v>
      </c>
      <c r="C416" s="6">
        <v>108.56</v>
      </c>
      <c r="D416" s="6">
        <v>0</v>
      </c>
      <c r="E416" s="6">
        <v>4</v>
      </c>
      <c r="F416" s="6">
        <v>20</v>
      </c>
      <c r="G416" s="6">
        <v>27</v>
      </c>
      <c r="H416" s="6">
        <v>2.14</v>
      </c>
      <c r="I416" s="6">
        <v>7.45</v>
      </c>
      <c r="J416" s="6">
        <v>0.94</v>
      </c>
      <c r="K416" s="16" t="s">
        <v>59</v>
      </c>
      <c r="L416" s="6">
        <v>0</v>
      </c>
      <c r="M416" s="6">
        <v>0</v>
      </c>
      <c r="N416" s="6">
        <v>0</v>
      </c>
      <c r="O416" s="6">
        <v>0</v>
      </c>
      <c r="P416" s="6">
        <v>3</v>
      </c>
      <c r="Q416" s="6">
        <v>22.06</v>
      </c>
      <c r="R416" s="6">
        <v>44.36</v>
      </c>
      <c r="S416" s="6">
        <v>27.08</v>
      </c>
      <c r="T416" s="6">
        <v>0</v>
      </c>
      <c r="U416" s="6">
        <v>0</v>
      </c>
    </row>
    <row r="417" spans="1:21" x14ac:dyDescent="0.2">
      <c r="A417" s="11" t="s">
        <v>265</v>
      </c>
      <c r="B417" s="11">
        <v>-66.08</v>
      </c>
      <c r="C417" s="11">
        <v>-132.32</v>
      </c>
      <c r="D417" s="11">
        <v>-143.41999999999999</v>
      </c>
      <c r="E417" s="11">
        <v>-144.88999999999999</v>
      </c>
      <c r="F417" s="11">
        <v>-69.400000000000006</v>
      </c>
      <c r="G417" s="11">
        <v>-80.69</v>
      </c>
      <c r="H417" s="11">
        <v>-86.6</v>
      </c>
      <c r="I417" s="11">
        <v>-61.94</v>
      </c>
      <c r="J417" s="11">
        <v>-114.76</v>
      </c>
      <c r="K417" s="11">
        <v>-34.51</v>
      </c>
      <c r="L417" s="11">
        <v>-39.26</v>
      </c>
      <c r="M417" s="11">
        <v>-38.090000000000003</v>
      </c>
      <c r="N417" s="11">
        <v>-29.35</v>
      </c>
      <c r="O417" s="11">
        <v>-34.700000000000003</v>
      </c>
      <c r="P417" s="11">
        <v>-31.81</v>
      </c>
      <c r="Q417" s="11">
        <v>-10.88</v>
      </c>
      <c r="R417" s="11">
        <v>11.31</v>
      </c>
      <c r="S417" s="11">
        <v>-6.06</v>
      </c>
      <c r="T417" s="11">
        <v>-40.85</v>
      </c>
      <c r="U417" s="11">
        <v>-131.88</v>
      </c>
    </row>
    <row r="418" spans="1:21" x14ac:dyDescent="0.2">
      <c r="A418" s="6" t="s">
        <v>35</v>
      </c>
      <c r="B418" s="6">
        <v>50.06</v>
      </c>
      <c r="C418" s="6">
        <v>7.74</v>
      </c>
      <c r="D418" s="6">
        <v>1.01</v>
      </c>
      <c r="E418" s="13">
        <v>-108.78</v>
      </c>
      <c r="F418" s="6">
        <v>13.99</v>
      </c>
      <c r="G418" s="6">
        <v>6.83</v>
      </c>
      <c r="H418" s="13">
        <v>-39.81</v>
      </c>
      <c r="I418" s="6">
        <v>46.02</v>
      </c>
      <c r="J418" s="13">
        <v>-232.51</v>
      </c>
      <c r="K418" s="13">
        <v>-21.04</v>
      </c>
      <c r="L418" s="13">
        <v>-23.42</v>
      </c>
      <c r="M418" s="13">
        <v>-250.09</v>
      </c>
      <c r="N418" s="13">
        <v>-359.59</v>
      </c>
      <c r="O418" s="13">
        <v>-472.95</v>
      </c>
      <c r="P418" s="6">
        <v>22.13</v>
      </c>
      <c r="Q418" s="6">
        <v>91.75</v>
      </c>
      <c r="R418" s="13">
        <v>-75.66</v>
      </c>
      <c r="S418" s="6">
        <v>87.44</v>
      </c>
      <c r="T418" s="13">
        <v>-2.74</v>
      </c>
      <c r="U418" s="13">
        <v>-381.25</v>
      </c>
    </row>
    <row r="419" spans="1:21" x14ac:dyDescent="0.2">
      <c r="A419" s="11" t="s">
        <v>266</v>
      </c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</row>
    <row r="420" spans="1:21" x14ac:dyDescent="0.2">
      <c r="A420" s="7" t="s">
        <v>304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-11.13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</row>
    <row r="421" spans="1:21" x14ac:dyDescent="0.2">
      <c r="A421" s="2" t="s">
        <v>305</v>
      </c>
      <c r="B421" s="2">
        <v>0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9">
        <v>-11.13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</row>
    <row r="422" spans="1:21" x14ac:dyDescent="0.2">
      <c r="A422" s="7" t="s">
        <v>267</v>
      </c>
      <c r="B422" s="7">
        <v>1.63</v>
      </c>
      <c r="C422" s="7">
        <v>0.74</v>
      </c>
      <c r="D422" s="7">
        <v>0.42</v>
      </c>
      <c r="E422" s="7">
        <v>6.73</v>
      </c>
      <c r="F422" s="7">
        <v>153.03</v>
      </c>
      <c r="G422" s="7">
        <v>9.1999999999999993</v>
      </c>
      <c r="H422" s="7">
        <v>4.5199999999999996</v>
      </c>
      <c r="I422" s="7">
        <v>7.59</v>
      </c>
      <c r="J422" s="7">
        <v>3.19</v>
      </c>
      <c r="K422" s="7">
        <v>109.29</v>
      </c>
      <c r="L422" s="7">
        <v>0</v>
      </c>
      <c r="M422" s="7">
        <v>0</v>
      </c>
      <c r="N422" s="7">
        <v>0.12</v>
      </c>
      <c r="O422" s="7">
        <v>0.83</v>
      </c>
      <c r="P422" s="7">
        <v>0.24</v>
      </c>
      <c r="Q422" s="7">
        <v>0.08</v>
      </c>
      <c r="R422" s="7">
        <v>0.47</v>
      </c>
      <c r="S422" s="7">
        <v>0.11</v>
      </c>
      <c r="T422" s="7">
        <v>0</v>
      </c>
      <c r="U422" s="7">
        <v>0.52</v>
      </c>
    </row>
    <row r="423" spans="1:21" x14ac:dyDescent="0.2">
      <c r="A423" s="11" t="s">
        <v>269</v>
      </c>
      <c r="B423" s="11">
        <v>1.63</v>
      </c>
      <c r="C423" s="11">
        <v>0.74</v>
      </c>
      <c r="D423" s="11">
        <v>0.42</v>
      </c>
      <c r="E423" s="11">
        <v>6.73</v>
      </c>
      <c r="F423" s="11">
        <v>153.03</v>
      </c>
      <c r="G423" s="11">
        <v>9.1999999999999993</v>
      </c>
      <c r="H423" s="11">
        <v>4.5199999999999996</v>
      </c>
      <c r="I423" s="11">
        <v>7.59</v>
      </c>
      <c r="J423" s="11">
        <v>3.19</v>
      </c>
      <c r="K423" s="11">
        <v>109.29</v>
      </c>
      <c r="L423" s="11">
        <v>0</v>
      </c>
      <c r="M423" s="11">
        <v>0</v>
      </c>
      <c r="N423" s="11">
        <v>0.12</v>
      </c>
      <c r="O423" s="11">
        <v>0.83</v>
      </c>
      <c r="P423" s="11">
        <v>0.24</v>
      </c>
      <c r="Q423" s="11">
        <v>0.08</v>
      </c>
      <c r="R423" s="11">
        <v>0.47</v>
      </c>
      <c r="S423" s="11">
        <v>0.11</v>
      </c>
      <c r="T423" s="11">
        <v>0</v>
      </c>
      <c r="U423" s="11">
        <v>0.52</v>
      </c>
    </row>
    <row r="424" spans="1:21" x14ac:dyDescent="0.2">
      <c r="A424" s="6" t="s">
        <v>270</v>
      </c>
      <c r="B424" s="6">
        <v>0.01</v>
      </c>
      <c r="C424" s="6">
        <v>0</v>
      </c>
      <c r="D424" s="6">
        <v>0</v>
      </c>
      <c r="E424" s="6">
        <v>0.09</v>
      </c>
      <c r="F424" s="6">
        <v>145</v>
      </c>
      <c r="G424" s="6">
        <v>0</v>
      </c>
      <c r="H424" s="13">
        <v>-0.95</v>
      </c>
      <c r="I424" s="6">
        <v>0</v>
      </c>
      <c r="J424" s="6">
        <v>0</v>
      </c>
      <c r="K424" s="6">
        <v>109.29</v>
      </c>
      <c r="L424" s="6">
        <v>0</v>
      </c>
      <c r="M424" s="6">
        <v>0</v>
      </c>
      <c r="N424" s="6">
        <v>0</v>
      </c>
      <c r="O424" s="6">
        <v>0.01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</row>
    <row r="425" spans="1:21" x14ac:dyDescent="0.2">
      <c r="A425" s="2" t="s">
        <v>306</v>
      </c>
      <c r="B425" s="2">
        <v>1.62</v>
      </c>
      <c r="C425" s="2">
        <v>0.74</v>
      </c>
      <c r="D425" s="2">
        <v>0.42</v>
      </c>
      <c r="E425" s="2">
        <v>6.64</v>
      </c>
      <c r="F425" s="2">
        <v>8.0299999999999994</v>
      </c>
      <c r="G425" s="2">
        <v>9.1999999999999993</v>
      </c>
      <c r="H425" s="2">
        <v>5.47</v>
      </c>
      <c r="I425" s="2">
        <v>7.59</v>
      </c>
      <c r="J425" s="2">
        <v>3.19</v>
      </c>
      <c r="K425" s="2">
        <v>0</v>
      </c>
      <c r="L425" s="2">
        <v>0</v>
      </c>
      <c r="M425" s="2">
        <v>0</v>
      </c>
      <c r="N425" s="2">
        <v>0.12</v>
      </c>
      <c r="O425" s="2">
        <v>0.83</v>
      </c>
      <c r="P425" s="2">
        <v>0.24</v>
      </c>
      <c r="Q425" s="2">
        <v>0.08</v>
      </c>
      <c r="R425" s="2">
        <v>0.47</v>
      </c>
      <c r="S425" s="2">
        <v>0.11</v>
      </c>
      <c r="T425" s="2">
        <v>0</v>
      </c>
      <c r="U425" s="2">
        <v>0.52</v>
      </c>
    </row>
    <row r="426" spans="1:21" x14ac:dyDescent="0.2">
      <c r="A426" s="7" t="s">
        <v>307</v>
      </c>
      <c r="B426" s="7">
        <v>-3.96</v>
      </c>
      <c r="C426" s="7">
        <v>-3.27</v>
      </c>
      <c r="D426" s="7">
        <v>-2.97</v>
      </c>
      <c r="E426" s="7">
        <v>239.81</v>
      </c>
      <c r="F426" s="7">
        <v>-2.21</v>
      </c>
      <c r="G426" s="7">
        <v>-1.93</v>
      </c>
      <c r="H426" s="7">
        <v>0.68</v>
      </c>
      <c r="I426" s="7">
        <v>0.92</v>
      </c>
      <c r="J426" s="7">
        <v>-0.31</v>
      </c>
      <c r="K426" s="7">
        <v>-32.1</v>
      </c>
      <c r="L426" s="7">
        <v>-1.38</v>
      </c>
      <c r="M426" s="7">
        <v>-1.34</v>
      </c>
      <c r="N426" s="7">
        <v>-1.29</v>
      </c>
      <c r="O426" s="7">
        <v>-1.04</v>
      </c>
      <c r="P426" s="7">
        <v>-1</v>
      </c>
      <c r="Q426" s="7">
        <v>-1.01</v>
      </c>
      <c r="R426" s="7">
        <v>-0.91</v>
      </c>
      <c r="S426" s="7">
        <v>-0.89</v>
      </c>
      <c r="T426" s="7">
        <v>-0.88</v>
      </c>
      <c r="U426" s="7">
        <v>-0.7</v>
      </c>
    </row>
    <row r="427" spans="1:21" x14ac:dyDescent="0.2">
      <c r="A427" s="11" t="s">
        <v>308</v>
      </c>
      <c r="B427" s="11">
        <v>-3.96</v>
      </c>
      <c r="C427" s="11">
        <v>-3.27</v>
      </c>
      <c r="D427" s="11">
        <v>-2.97</v>
      </c>
      <c r="E427" s="11">
        <v>239.81</v>
      </c>
      <c r="F427" s="11">
        <v>-2.21</v>
      </c>
      <c r="G427" s="11">
        <v>-1.93</v>
      </c>
      <c r="H427" s="11">
        <v>0.68</v>
      </c>
      <c r="I427" s="11">
        <v>0.92</v>
      </c>
      <c r="J427" s="11">
        <v>-0.31</v>
      </c>
      <c r="K427" s="11">
        <v>-32.1</v>
      </c>
      <c r="L427" s="11">
        <v>-1.38</v>
      </c>
      <c r="M427" s="11">
        <v>-1.34</v>
      </c>
      <c r="N427" s="11">
        <v>-1.29</v>
      </c>
      <c r="O427" s="11">
        <v>-1.04</v>
      </c>
      <c r="P427" s="11">
        <v>-1</v>
      </c>
      <c r="Q427" s="11">
        <v>-1.01</v>
      </c>
      <c r="R427" s="11">
        <v>-0.91</v>
      </c>
      <c r="S427" s="11">
        <v>-0.89</v>
      </c>
      <c r="T427" s="11">
        <v>-0.88</v>
      </c>
      <c r="U427" s="11">
        <v>-0.7</v>
      </c>
    </row>
    <row r="428" spans="1:21" x14ac:dyDescent="0.2">
      <c r="A428" s="6" t="s">
        <v>309</v>
      </c>
      <c r="B428" s="6">
        <v>0</v>
      </c>
      <c r="C428" s="6">
        <v>0</v>
      </c>
      <c r="D428" s="6">
        <v>0</v>
      </c>
      <c r="E428" s="6">
        <v>242.51</v>
      </c>
      <c r="F428" s="6">
        <v>50</v>
      </c>
      <c r="G428" s="6">
        <v>0</v>
      </c>
      <c r="H428" s="6">
        <v>1.38</v>
      </c>
      <c r="I428" s="6">
        <v>1.18</v>
      </c>
      <c r="J428" s="6">
        <v>0</v>
      </c>
      <c r="K428" s="6">
        <v>3.9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</row>
    <row r="429" spans="1:21" x14ac:dyDescent="0.2">
      <c r="A429" s="2" t="s">
        <v>310</v>
      </c>
      <c r="B429" s="9">
        <v>-3.96</v>
      </c>
      <c r="C429" s="9">
        <v>-3.27</v>
      </c>
      <c r="D429" s="9">
        <v>-2.97</v>
      </c>
      <c r="E429" s="9">
        <v>-2.69</v>
      </c>
      <c r="F429" s="9">
        <v>-52.21</v>
      </c>
      <c r="G429" s="9">
        <v>-1.93</v>
      </c>
      <c r="H429" s="9">
        <v>-0.7</v>
      </c>
      <c r="I429" s="9">
        <v>-0.27</v>
      </c>
      <c r="J429" s="9">
        <v>-0.31</v>
      </c>
      <c r="K429" s="9">
        <v>-36</v>
      </c>
      <c r="L429" s="9">
        <v>-1.38</v>
      </c>
      <c r="M429" s="9">
        <v>-1.34</v>
      </c>
      <c r="N429" s="9">
        <v>-1.29</v>
      </c>
      <c r="O429" s="9">
        <v>-1.04</v>
      </c>
      <c r="P429" s="9">
        <v>-1</v>
      </c>
      <c r="Q429" s="9">
        <v>-1.01</v>
      </c>
      <c r="R429" s="9">
        <v>-0.91</v>
      </c>
      <c r="S429" s="9">
        <v>-0.89</v>
      </c>
      <c r="T429" s="9">
        <v>-0.88</v>
      </c>
      <c r="U429" s="9">
        <v>-0.7</v>
      </c>
    </row>
    <row r="430" spans="1:21" x14ac:dyDescent="0.2">
      <c r="A430" s="7" t="s">
        <v>252</v>
      </c>
      <c r="B430" s="7">
        <v>-6.68</v>
      </c>
      <c r="C430" s="7">
        <v>-3.16</v>
      </c>
      <c r="D430" s="7">
        <v>-2.65</v>
      </c>
      <c r="E430" s="7">
        <v>-4.5199999999999996</v>
      </c>
      <c r="F430" s="7">
        <v>-8.94</v>
      </c>
      <c r="G430" s="7">
        <v>-3.81</v>
      </c>
      <c r="H430" s="7">
        <v>-0.75</v>
      </c>
      <c r="I430" s="7">
        <v>-7.54</v>
      </c>
      <c r="J430" s="7">
        <v>-1.65</v>
      </c>
      <c r="K430" s="7">
        <v>-4.6399999999999997</v>
      </c>
      <c r="L430" s="7">
        <v>-1.4</v>
      </c>
      <c r="M430" s="7">
        <v>-1.69</v>
      </c>
      <c r="N430" s="7">
        <v>-8.5</v>
      </c>
      <c r="O430" s="7">
        <v>-0.33</v>
      </c>
      <c r="P430" s="7">
        <v>-0.27</v>
      </c>
      <c r="Q430" s="7">
        <v>-0.1</v>
      </c>
      <c r="R430" s="7">
        <v>-5.99</v>
      </c>
      <c r="S430" s="7">
        <v>-0.08</v>
      </c>
      <c r="T430" s="7">
        <v>-0.35</v>
      </c>
      <c r="U430" s="7">
        <v>-0.05</v>
      </c>
    </row>
    <row r="431" spans="1:21" x14ac:dyDescent="0.2">
      <c r="A431" s="2" t="s">
        <v>271</v>
      </c>
      <c r="B431" s="9">
        <v>-6.68</v>
      </c>
      <c r="C431" s="9">
        <v>-3.16</v>
      </c>
      <c r="D431" s="9">
        <v>-2.65</v>
      </c>
      <c r="E431" s="9">
        <v>-4.5199999999999996</v>
      </c>
      <c r="F431" s="9">
        <v>-8.94</v>
      </c>
      <c r="G431" s="9">
        <v>-3.81</v>
      </c>
      <c r="H431" s="9">
        <v>-0.75</v>
      </c>
      <c r="I431" s="9">
        <v>-7.54</v>
      </c>
      <c r="J431" s="9">
        <v>-1.75</v>
      </c>
      <c r="K431" s="9">
        <v>-4.6399999999999997</v>
      </c>
      <c r="L431" s="9">
        <v>-1.4</v>
      </c>
      <c r="M431" s="9">
        <v>-1.69</v>
      </c>
      <c r="N431" s="9">
        <v>-8.5</v>
      </c>
      <c r="O431" s="9">
        <v>-0.33</v>
      </c>
      <c r="P431" s="9">
        <v>-0.27</v>
      </c>
      <c r="Q431" s="9">
        <v>-0.1</v>
      </c>
      <c r="R431" s="9">
        <v>-5.99</v>
      </c>
      <c r="S431" s="9">
        <v>-0.08</v>
      </c>
      <c r="T431" s="9">
        <v>-0.35</v>
      </c>
      <c r="U431" s="9">
        <v>-0.05</v>
      </c>
    </row>
    <row r="432" spans="1:21" x14ac:dyDescent="0.2">
      <c r="A432" s="6" t="s">
        <v>272</v>
      </c>
      <c r="B432" s="16" t="s">
        <v>59</v>
      </c>
      <c r="C432" s="16" t="s">
        <v>59</v>
      </c>
      <c r="D432" s="16" t="s">
        <v>59</v>
      </c>
      <c r="E432" s="16" t="s">
        <v>59</v>
      </c>
      <c r="F432" s="16" t="s">
        <v>59</v>
      </c>
      <c r="G432" s="16" t="s">
        <v>59</v>
      </c>
      <c r="H432" s="6">
        <v>0</v>
      </c>
      <c r="I432" s="6">
        <v>0</v>
      </c>
      <c r="J432" s="6">
        <v>0.1</v>
      </c>
      <c r="K432" s="6">
        <v>0</v>
      </c>
      <c r="L432" s="16" t="s">
        <v>59</v>
      </c>
      <c r="M432" s="16" t="s">
        <v>59</v>
      </c>
      <c r="N432" s="16" t="s">
        <v>59</v>
      </c>
      <c r="O432" s="16" t="s">
        <v>59</v>
      </c>
      <c r="P432" s="16" t="s">
        <v>59</v>
      </c>
      <c r="Q432" s="16" t="s">
        <v>59</v>
      </c>
      <c r="R432" s="16" t="s">
        <v>59</v>
      </c>
      <c r="S432" s="16" t="s">
        <v>59</v>
      </c>
      <c r="T432" s="16" t="s">
        <v>59</v>
      </c>
      <c r="U432" s="16" t="s">
        <v>59</v>
      </c>
    </row>
    <row r="433" spans="1:21" x14ac:dyDescent="0.2">
      <c r="A433" s="11" t="s">
        <v>273</v>
      </c>
      <c r="B433" s="11">
        <v>-9.02</v>
      </c>
      <c r="C433" s="11">
        <v>-5.68</v>
      </c>
      <c r="D433" s="11">
        <v>-5.2</v>
      </c>
      <c r="E433" s="11">
        <v>242.02</v>
      </c>
      <c r="F433" s="11">
        <v>141.88999999999999</v>
      </c>
      <c r="G433" s="11">
        <v>3.46</v>
      </c>
      <c r="H433" s="11">
        <v>4.45</v>
      </c>
      <c r="I433" s="11">
        <v>0.97</v>
      </c>
      <c r="J433" s="11">
        <v>1.23</v>
      </c>
      <c r="K433" s="11">
        <v>61.43</v>
      </c>
      <c r="L433" s="11">
        <v>-2.79</v>
      </c>
      <c r="M433" s="11">
        <v>-3.03</v>
      </c>
      <c r="N433" s="11">
        <v>-9.66</v>
      </c>
      <c r="O433" s="11">
        <v>-0.54</v>
      </c>
      <c r="P433" s="11">
        <v>-1.03</v>
      </c>
      <c r="Q433" s="11">
        <v>-1.03</v>
      </c>
      <c r="R433" s="11">
        <v>-6.42</v>
      </c>
      <c r="S433" s="11">
        <v>-0.86</v>
      </c>
      <c r="T433" s="11">
        <v>-1.23</v>
      </c>
      <c r="U433" s="11">
        <v>-0.23</v>
      </c>
    </row>
    <row r="434" spans="1:21" x14ac:dyDescent="0.2">
      <c r="A434" s="6" t="s">
        <v>35</v>
      </c>
      <c r="B434" s="13">
        <v>-58.64</v>
      </c>
      <c r="C434" s="13">
        <v>-9.27</v>
      </c>
      <c r="D434" s="13">
        <v>-102.15</v>
      </c>
      <c r="E434" s="6">
        <v>70.58</v>
      </c>
      <c r="F434" s="18">
        <v>3995.99</v>
      </c>
      <c r="G434" s="13">
        <v>-22.19</v>
      </c>
      <c r="H434" s="6">
        <v>361.35</v>
      </c>
      <c r="I434" s="13">
        <v>-21.8</v>
      </c>
      <c r="J434" s="13">
        <v>-97.99</v>
      </c>
      <c r="K434" s="18">
        <v>1255.43</v>
      </c>
      <c r="L434" s="13">
        <v>-171.4</v>
      </c>
      <c r="M434" s="13">
        <v>-193.6</v>
      </c>
      <c r="N434" s="13">
        <v>-50.48</v>
      </c>
      <c r="O434" s="6">
        <v>37.49</v>
      </c>
      <c r="P434" s="6">
        <v>16.350000000000001</v>
      </c>
      <c r="Q434" s="13">
        <v>-354.19</v>
      </c>
      <c r="R434" s="13">
        <v>-90.59</v>
      </c>
      <c r="S434" s="13">
        <v>-27.64</v>
      </c>
      <c r="T434" s="13">
        <v>-64.52</v>
      </c>
      <c r="U434" s="6">
        <v>67.98</v>
      </c>
    </row>
    <row r="435" spans="1:21" x14ac:dyDescent="0.2">
      <c r="A435" s="11" t="s">
        <v>274</v>
      </c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</row>
    <row r="436" spans="1:21" x14ac:dyDescent="0.2">
      <c r="A436" s="6" t="s">
        <v>275</v>
      </c>
      <c r="B436" s="6">
        <v>0</v>
      </c>
      <c r="C436" s="13">
        <v>0</v>
      </c>
      <c r="D436" s="13">
        <v>0</v>
      </c>
      <c r="E436" s="16" t="s">
        <v>59</v>
      </c>
      <c r="F436" s="16" t="s">
        <v>59</v>
      </c>
      <c r="G436" s="16" t="s">
        <v>59</v>
      </c>
      <c r="H436" s="16" t="s">
        <v>59</v>
      </c>
      <c r="I436" s="16" t="s">
        <v>59</v>
      </c>
      <c r="J436" s="16" t="s">
        <v>59</v>
      </c>
      <c r="K436" s="16" t="s">
        <v>59</v>
      </c>
      <c r="L436" s="6">
        <v>0</v>
      </c>
      <c r="M436" s="13">
        <v>0</v>
      </c>
      <c r="N436" s="13">
        <v>0</v>
      </c>
      <c r="O436" s="6">
        <v>0</v>
      </c>
      <c r="P436" s="6">
        <v>0</v>
      </c>
      <c r="Q436" s="6">
        <v>0</v>
      </c>
      <c r="R436" s="13">
        <v>0</v>
      </c>
      <c r="S436" s="6">
        <v>0</v>
      </c>
      <c r="T436" s="6">
        <v>0</v>
      </c>
      <c r="U436" s="6">
        <v>0</v>
      </c>
    </row>
    <row r="437" spans="1:21" x14ac:dyDescent="0.2">
      <c r="A437" s="2" t="s">
        <v>276</v>
      </c>
      <c r="B437" s="2">
        <v>96.06</v>
      </c>
      <c r="C437" s="9">
        <v>-5.87</v>
      </c>
      <c r="D437" s="9">
        <v>-71.89</v>
      </c>
      <c r="E437" s="2">
        <v>155.53</v>
      </c>
      <c r="F437" s="2">
        <v>109.77</v>
      </c>
      <c r="G437" s="2">
        <v>12.35</v>
      </c>
      <c r="H437" s="2">
        <v>3.24</v>
      </c>
      <c r="I437" s="2">
        <v>9.9</v>
      </c>
      <c r="J437" s="9">
        <v>-59.24</v>
      </c>
      <c r="K437" s="2">
        <v>68.17</v>
      </c>
      <c r="L437" s="2">
        <v>20.95</v>
      </c>
      <c r="M437" s="2">
        <v>23.88</v>
      </c>
      <c r="N437" s="9">
        <v>-7.79</v>
      </c>
      <c r="O437" s="2">
        <v>9.85</v>
      </c>
      <c r="P437" s="2">
        <v>9.0299999999999994</v>
      </c>
      <c r="Q437" s="2">
        <v>41.64</v>
      </c>
      <c r="R437" s="2">
        <v>35.549999999999997</v>
      </c>
      <c r="S437" s="2">
        <v>34.630000000000003</v>
      </c>
      <c r="T437" s="9">
        <v>-13.68</v>
      </c>
      <c r="U437" s="9">
        <v>-89.73</v>
      </c>
    </row>
    <row r="438" spans="1:21" x14ac:dyDescent="0.2">
      <c r="A438" s="7" t="s">
        <v>141</v>
      </c>
      <c r="B438" s="7">
        <v>35.659999999999997</v>
      </c>
      <c r="C438" s="7">
        <v>-14.03</v>
      </c>
      <c r="D438" s="7">
        <v>-65.819999999999993</v>
      </c>
      <c r="E438" s="7">
        <v>-43.09</v>
      </c>
      <c r="F438" s="7">
        <v>-31.75</v>
      </c>
      <c r="G438" s="7">
        <v>-16.940000000000001</v>
      </c>
      <c r="H438" s="7">
        <v>-2.13</v>
      </c>
      <c r="I438" s="7">
        <v>9.35</v>
      </c>
      <c r="J438" s="7">
        <v>-0.15</v>
      </c>
      <c r="K438" s="7">
        <v>9.14</v>
      </c>
      <c r="L438" s="7">
        <v>23.74</v>
      </c>
      <c r="M438" s="7">
        <v>26.91</v>
      </c>
      <c r="N438" s="7">
        <v>1.87</v>
      </c>
      <c r="O438" s="7">
        <v>10.39</v>
      </c>
      <c r="P438" s="7">
        <v>7.05</v>
      </c>
      <c r="Q438" s="7">
        <v>20.61</v>
      </c>
      <c r="R438" s="7">
        <v>-2.39</v>
      </c>
      <c r="S438" s="7">
        <v>8.41</v>
      </c>
      <c r="T438" s="7">
        <v>-9.8800000000000008</v>
      </c>
      <c r="U438" s="7">
        <v>1.94</v>
      </c>
    </row>
    <row r="439" spans="1:21" x14ac:dyDescent="0.2">
      <c r="A439" s="2" t="s">
        <v>35</v>
      </c>
      <c r="B439" s="15" t="s">
        <v>59</v>
      </c>
      <c r="C439" s="2">
        <v>78.69</v>
      </c>
      <c r="D439" s="9">
        <v>-52.73</v>
      </c>
      <c r="E439" s="9">
        <v>-35.72</v>
      </c>
      <c r="F439" s="9">
        <v>-87.48</v>
      </c>
      <c r="G439" s="9">
        <v>-695.12</v>
      </c>
      <c r="H439" s="9">
        <v>-122.79</v>
      </c>
      <c r="I439" s="15" t="s">
        <v>59</v>
      </c>
      <c r="J439" s="9">
        <v>-101.62</v>
      </c>
      <c r="K439" s="15" t="s">
        <v>59</v>
      </c>
      <c r="L439" s="2">
        <v>236.59</v>
      </c>
      <c r="M439" s="2">
        <v>30.6</v>
      </c>
      <c r="N439" s="15" t="s">
        <v>59</v>
      </c>
      <c r="O439" s="2">
        <v>23.43</v>
      </c>
      <c r="P439" s="15" t="s">
        <v>59</v>
      </c>
      <c r="Q439" s="2">
        <v>961.12</v>
      </c>
      <c r="R439" s="2">
        <v>83.53</v>
      </c>
      <c r="S439" s="15" t="s">
        <v>59</v>
      </c>
      <c r="T439" s="2">
        <v>51.48</v>
      </c>
      <c r="U439" s="15" t="s">
        <v>59</v>
      </c>
    </row>
    <row r="440" spans="1:21" x14ac:dyDescent="0.2">
      <c r="A440" s="6" t="s">
        <v>158</v>
      </c>
      <c r="B440" s="6">
        <v>0.81</v>
      </c>
      <c r="C440" s="13">
        <v>-0.32</v>
      </c>
      <c r="D440" s="13">
        <v>-1.68</v>
      </c>
      <c r="E440" s="13">
        <v>-1.1000000000000001</v>
      </c>
      <c r="F440" s="13">
        <v>-0.86</v>
      </c>
      <c r="G440" s="13">
        <v>-0.53</v>
      </c>
      <c r="H440" s="13">
        <v>-7.0000000000000007E-2</v>
      </c>
      <c r="I440" s="6">
        <v>0.36</v>
      </c>
      <c r="J440" s="13">
        <v>-0.01</v>
      </c>
      <c r="K440" s="6">
        <v>0.67</v>
      </c>
      <c r="L440" s="6">
        <v>0.56999999999999995</v>
      </c>
      <c r="M440" s="6">
        <v>0.64</v>
      </c>
      <c r="N440" s="6">
        <v>0.04</v>
      </c>
      <c r="O440" s="6">
        <v>0.25</v>
      </c>
      <c r="P440" s="6">
        <v>0.18</v>
      </c>
      <c r="Q440" s="6">
        <v>0.5</v>
      </c>
      <c r="R440" s="13">
        <v>-0.06</v>
      </c>
      <c r="S440" s="6">
        <v>0.19</v>
      </c>
      <c r="T440" s="13">
        <v>-0.22</v>
      </c>
      <c r="U440" s="6">
        <v>0.04</v>
      </c>
    </row>
    <row r="441" spans="1:21" x14ac:dyDescent="0.2">
      <c r="A441" s="2" t="s">
        <v>277</v>
      </c>
      <c r="B441" s="2">
        <v>0.61</v>
      </c>
      <c r="C441" s="9">
        <v>-0.42</v>
      </c>
      <c r="D441" s="9">
        <v>-3.94</v>
      </c>
      <c r="E441" s="9">
        <v>-1.57</v>
      </c>
      <c r="F441" s="9">
        <v>-1.01</v>
      </c>
      <c r="G441" s="9">
        <v>-0.88</v>
      </c>
      <c r="H441" s="9">
        <v>-0.17</v>
      </c>
      <c r="I441" s="2">
        <v>0.81</v>
      </c>
      <c r="J441" s="9">
        <v>-0.02</v>
      </c>
      <c r="K441" s="2">
        <v>1.68</v>
      </c>
      <c r="L441" s="2">
        <v>1.58</v>
      </c>
      <c r="M441" s="2">
        <v>0.83</v>
      </c>
      <c r="N441" s="2">
        <v>1.02</v>
      </c>
      <c r="O441" s="2">
        <v>0.64</v>
      </c>
      <c r="P441" s="2">
        <v>0.8</v>
      </c>
      <c r="Q441" s="2">
        <v>0.45</v>
      </c>
      <c r="R441" s="9">
        <v>-0.04</v>
      </c>
      <c r="S441" s="9">
        <v>-0.42</v>
      </c>
      <c r="T441" s="9">
        <v>-1.91</v>
      </c>
      <c r="U441" s="9">
        <v>-1.73</v>
      </c>
    </row>
    <row r="442" spans="1:21" x14ac:dyDescent="0.2">
      <c r="A442" s="6" t="s">
        <v>111</v>
      </c>
      <c r="B442" s="6" t="s">
        <v>1</v>
      </c>
      <c r="C442" s="6" t="s">
        <v>1</v>
      </c>
      <c r="D442" s="6" t="s">
        <v>1</v>
      </c>
      <c r="E442" s="6" t="s">
        <v>1</v>
      </c>
      <c r="F442" s="6" t="s">
        <v>1</v>
      </c>
      <c r="G442" s="6" t="s">
        <v>1</v>
      </c>
      <c r="H442" s="6" t="s">
        <v>1</v>
      </c>
      <c r="I442" s="6" t="s">
        <v>1</v>
      </c>
      <c r="J442" s="6" t="s">
        <v>1</v>
      </c>
      <c r="K442" s="6" t="s">
        <v>1</v>
      </c>
      <c r="L442" s="6" t="s">
        <v>1</v>
      </c>
      <c r="M442" s="6" t="s">
        <v>1</v>
      </c>
      <c r="N442" s="6" t="s">
        <v>1</v>
      </c>
      <c r="O442" s="6" t="s">
        <v>1</v>
      </c>
      <c r="P442" s="6" t="s">
        <v>1</v>
      </c>
      <c r="Q442" s="6" t="s">
        <v>1</v>
      </c>
      <c r="R442" s="6" t="s">
        <v>1</v>
      </c>
      <c r="S442" s="6" t="s">
        <v>1</v>
      </c>
      <c r="T442" s="6" t="s">
        <v>1</v>
      </c>
      <c r="U442" s="6" t="s">
        <v>1</v>
      </c>
    </row>
    <row r="443" spans="1:21" x14ac:dyDescent="0.2">
      <c r="A443" s="2" t="s">
        <v>311</v>
      </c>
      <c r="B443" s="2">
        <v>0.88</v>
      </c>
      <c r="C443" s="2">
        <v>0</v>
      </c>
      <c r="D443" s="2">
        <v>0</v>
      </c>
      <c r="E443" s="2">
        <v>0.17</v>
      </c>
      <c r="F443" s="2">
        <v>0.06</v>
      </c>
      <c r="G443" s="2">
        <v>0.28999999999999998</v>
      </c>
      <c r="H443" s="2">
        <v>2.2599999999999998</v>
      </c>
      <c r="I443" s="2">
        <v>1.1100000000000001</v>
      </c>
      <c r="J443" s="2">
        <v>0.05</v>
      </c>
      <c r="K443" s="2">
        <v>0.09</v>
      </c>
      <c r="L443" s="2">
        <v>0.18</v>
      </c>
      <c r="M443" s="2">
        <v>0.26</v>
      </c>
      <c r="N443" s="2">
        <v>0.19</v>
      </c>
      <c r="O443" s="2">
        <v>0.16</v>
      </c>
      <c r="P443" s="2">
        <v>0.23</v>
      </c>
      <c r="Q443" s="2">
        <v>0.14000000000000001</v>
      </c>
      <c r="R443" s="2">
        <v>0.35</v>
      </c>
      <c r="S443" s="9">
        <v>-0.34</v>
      </c>
      <c r="T443" s="2">
        <v>0.16</v>
      </c>
      <c r="U443" s="2">
        <v>0.1</v>
      </c>
    </row>
    <row r="444" spans="1:21" x14ac:dyDescent="0.2">
      <c r="A444" s="6" t="s">
        <v>278</v>
      </c>
      <c r="B444" s="6">
        <v>6.53</v>
      </c>
      <c r="C444" s="6">
        <v>4.0599999999999996</v>
      </c>
      <c r="D444" s="6">
        <v>3.73</v>
      </c>
      <c r="E444" s="6">
        <v>2.81</v>
      </c>
      <c r="F444" s="6">
        <v>1.61</v>
      </c>
      <c r="G444" s="6">
        <v>3.04</v>
      </c>
      <c r="H444" s="6">
        <v>3.27</v>
      </c>
      <c r="I444" s="6">
        <v>2.2599999999999998</v>
      </c>
      <c r="J444" s="6">
        <v>1.82</v>
      </c>
      <c r="K444" s="6">
        <v>0.42</v>
      </c>
      <c r="L444" s="6">
        <v>1.24</v>
      </c>
      <c r="M444" s="6">
        <v>2</v>
      </c>
      <c r="N444" s="6">
        <v>0.88</v>
      </c>
      <c r="O444" s="6">
        <v>1.02</v>
      </c>
      <c r="P444" s="6">
        <v>1.81</v>
      </c>
      <c r="Q444" s="6">
        <v>2.48</v>
      </c>
      <c r="R444" s="6">
        <v>1.21</v>
      </c>
      <c r="S444" s="6">
        <v>0.91</v>
      </c>
      <c r="T444" s="6">
        <v>1.27</v>
      </c>
      <c r="U444" s="6">
        <v>1.1000000000000001</v>
      </c>
    </row>
    <row r="445" spans="1:21" x14ac:dyDescent="0.2">
      <c r="A445" s="25" t="s">
        <v>279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</row>
    <row r="447" spans="1:21" x14ac:dyDescent="0.2">
      <c r="A447" s="1" t="s">
        <v>312</v>
      </c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2">
      <c r="A448" s="3">
        <v>246.01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</row>
    <row r="449" spans="1:36" x14ac:dyDescent="0.2">
      <c r="A449" s="2" t="s">
        <v>1</v>
      </c>
      <c r="B449" s="4" t="s">
        <v>1</v>
      </c>
      <c r="C449" s="4" t="s">
        <v>1</v>
      </c>
      <c r="D449" s="4" t="s">
        <v>1</v>
      </c>
      <c r="E449" s="4" t="s">
        <v>1</v>
      </c>
      <c r="F449" s="4" t="s">
        <v>1</v>
      </c>
      <c r="G449" s="4" t="s">
        <v>1</v>
      </c>
      <c r="H449" s="4" t="s">
        <v>1</v>
      </c>
      <c r="I449" s="4" t="s">
        <v>1</v>
      </c>
      <c r="J449" s="4" t="s">
        <v>1</v>
      </c>
      <c r="K449" s="4" t="s">
        <v>1</v>
      </c>
      <c r="L449" s="4" t="s">
        <v>1</v>
      </c>
      <c r="M449" s="4" t="s">
        <v>1</v>
      </c>
      <c r="N449" s="4" t="s">
        <v>1</v>
      </c>
      <c r="O449" s="4" t="s">
        <v>1</v>
      </c>
      <c r="P449" s="4" t="s">
        <v>1</v>
      </c>
      <c r="Q449" s="4" t="s">
        <v>1</v>
      </c>
      <c r="R449" s="4" t="s">
        <v>1</v>
      </c>
      <c r="S449" s="4" t="s">
        <v>1</v>
      </c>
      <c r="T449" s="4" t="s">
        <v>1</v>
      </c>
      <c r="U449" s="4" t="s">
        <v>1</v>
      </c>
    </row>
    <row r="450" spans="1:36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</row>
    <row r="451" spans="1:36" x14ac:dyDescent="0.2">
      <c r="A451" s="5" t="s">
        <v>313</v>
      </c>
      <c r="B451" s="5" t="s">
        <v>1</v>
      </c>
      <c r="C451" s="5" t="s">
        <v>1</v>
      </c>
      <c r="D451" s="5" t="s">
        <v>1</v>
      </c>
      <c r="E451" s="5" t="s">
        <v>1</v>
      </c>
      <c r="F451" s="5" t="s">
        <v>1</v>
      </c>
      <c r="G451" s="5" t="s">
        <v>1</v>
      </c>
      <c r="H451" s="5" t="s">
        <v>1</v>
      </c>
      <c r="I451" s="5" t="s">
        <v>1</v>
      </c>
      <c r="J451" s="5" t="s">
        <v>1</v>
      </c>
      <c r="K451" s="5" t="s">
        <v>1</v>
      </c>
      <c r="L451" s="5" t="s">
        <v>1</v>
      </c>
      <c r="M451" s="5" t="s">
        <v>1</v>
      </c>
      <c r="N451" s="5" t="s">
        <v>1</v>
      </c>
      <c r="O451" s="5" t="s">
        <v>1</v>
      </c>
      <c r="P451" s="5" t="s">
        <v>1</v>
      </c>
      <c r="Q451" s="5" t="s">
        <v>1</v>
      </c>
      <c r="R451" s="5" t="s">
        <v>1</v>
      </c>
      <c r="S451" s="5" t="s">
        <v>1</v>
      </c>
      <c r="T451" s="5" t="s">
        <v>1</v>
      </c>
      <c r="U451" s="5" t="s">
        <v>1</v>
      </c>
      <c r="W451" s="33" t="s">
        <v>314</v>
      </c>
      <c r="X451" s="33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</row>
    <row r="452" spans="1:36" x14ac:dyDescent="0.2">
      <c r="A452" s="5" t="s">
        <v>315</v>
      </c>
      <c r="B452" s="5" t="s">
        <v>1</v>
      </c>
      <c r="C452" s="5" t="s">
        <v>1</v>
      </c>
      <c r="D452" s="5" t="s">
        <v>1</v>
      </c>
      <c r="E452" s="5" t="s">
        <v>1</v>
      </c>
      <c r="F452" s="5" t="s">
        <v>1</v>
      </c>
      <c r="G452" s="5" t="s">
        <v>1</v>
      </c>
      <c r="H452" s="5" t="s">
        <v>1</v>
      </c>
      <c r="I452" s="5" t="s">
        <v>1</v>
      </c>
      <c r="J452" s="5" t="s">
        <v>1</v>
      </c>
      <c r="K452" s="5" t="s">
        <v>1</v>
      </c>
      <c r="L452" s="5" t="s">
        <v>1</v>
      </c>
      <c r="M452" s="5" t="s">
        <v>1</v>
      </c>
      <c r="N452" s="5" t="s">
        <v>1</v>
      </c>
      <c r="O452" s="5" t="s">
        <v>1</v>
      </c>
      <c r="P452" s="5" t="s">
        <v>1</v>
      </c>
      <c r="Q452" s="5" t="s">
        <v>1</v>
      </c>
      <c r="R452" s="5" t="s">
        <v>1</v>
      </c>
      <c r="S452" s="5" t="s">
        <v>1</v>
      </c>
      <c r="T452" s="5" t="s">
        <v>1</v>
      </c>
      <c r="U452" s="5" t="s">
        <v>1</v>
      </c>
      <c r="W452" s="33" t="s">
        <v>5</v>
      </c>
      <c r="X452" s="33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</row>
    <row r="453" spans="1:36" x14ac:dyDescent="0.2">
      <c r="A453" s="5" t="s">
        <v>6</v>
      </c>
      <c r="B453" s="5" t="s">
        <v>1</v>
      </c>
      <c r="C453" s="5" t="s">
        <v>1</v>
      </c>
      <c r="D453" s="5" t="s">
        <v>1</v>
      </c>
      <c r="E453" s="5" t="s">
        <v>1</v>
      </c>
      <c r="F453" s="5" t="s">
        <v>1</v>
      </c>
      <c r="G453" s="5" t="s">
        <v>1</v>
      </c>
      <c r="H453" s="5" t="s">
        <v>1</v>
      </c>
      <c r="I453" s="5" t="s">
        <v>1</v>
      </c>
      <c r="J453" s="5" t="s">
        <v>1</v>
      </c>
      <c r="K453" s="5" t="s">
        <v>1</v>
      </c>
      <c r="L453" s="5" t="s">
        <v>1</v>
      </c>
      <c r="M453" s="5" t="s">
        <v>1</v>
      </c>
      <c r="N453" s="5" t="s">
        <v>1</v>
      </c>
      <c r="O453" s="5" t="s">
        <v>1</v>
      </c>
      <c r="P453" s="5" t="s">
        <v>1</v>
      </c>
      <c r="Q453" s="5" t="s">
        <v>1</v>
      </c>
      <c r="R453" s="5" t="s">
        <v>1</v>
      </c>
      <c r="S453" s="5" t="s">
        <v>1</v>
      </c>
      <c r="T453" s="5" t="s">
        <v>1</v>
      </c>
      <c r="U453" s="5" t="s">
        <v>1</v>
      </c>
      <c r="W453" s="34" t="s">
        <v>1</v>
      </c>
      <c r="X453" s="34" t="s">
        <v>7</v>
      </c>
      <c r="Y453" s="33"/>
      <c r="Z453" s="33"/>
      <c r="AA453" s="33"/>
      <c r="AB453" s="33"/>
      <c r="AC453" s="33"/>
    </row>
    <row r="454" spans="1:36" x14ac:dyDescent="0.2">
      <c r="A454" s="5" t="s">
        <v>1</v>
      </c>
      <c r="B454" s="5" t="s">
        <v>8</v>
      </c>
      <c r="C454" s="5" t="s">
        <v>1</v>
      </c>
      <c r="D454" s="5" t="s">
        <v>1</v>
      </c>
      <c r="E454" s="5" t="s">
        <v>1</v>
      </c>
      <c r="F454" s="5" t="s">
        <v>1</v>
      </c>
      <c r="G454" s="5" t="s">
        <v>1</v>
      </c>
      <c r="H454" s="5" t="s">
        <v>1</v>
      </c>
      <c r="I454" s="5" t="s">
        <v>1</v>
      </c>
      <c r="J454" s="5" t="s">
        <v>1</v>
      </c>
      <c r="K454" s="5" t="s">
        <v>1</v>
      </c>
      <c r="L454" s="5" t="s">
        <v>9</v>
      </c>
      <c r="M454" s="5" t="s">
        <v>1</v>
      </c>
      <c r="N454" s="5" t="s">
        <v>1</v>
      </c>
      <c r="O454" s="5" t="s">
        <v>1</v>
      </c>
      <c r="P454" s="5" t="s">
        <v>1</v>
      </c>
      <c r="Q454" s="5" t="s">
        <v>1</v>
      </c>
      <c r="R454" s="5" t="s">
        <v>1</v>
      </c>
      <c r="S454" s="5" t="s">
        <v>1</v>
      </c>
      <c r="T454" s="5" t="s">
        <v>1</v>
      </c>
      <c r="U454" s="5" t="s">
        <v>1</v>
      </c>
      <c r="W454" s="35" t="s">
        <v>10</v>
      </c>
      <c r="X454" s="35">
        <v>3.92</v>
      </c>
      <c r="Y454" s="33"/>
      <c r="Z454" s="33"/>
      <c r="AA454" s="33"/>
      <c r="AB454" s="33"/>
      <c r="AC454" s="33"/>
    </row>
    <row r="455" spans="1:36" x14ac:dyDescent="0.2">
      <c r="A455" s="5" t="s">
        <v>1</v>
      </c>
      <c r="B455" s="5" t="s">
        <v>11</v>
      </c>
      <c r="C455" s="5" t="s">
        <v>12</v>
      </c>
      <c r="D455" s="5" t="s">
        <v>13</v>
      </c>
      <c r="E455" s="5" t="s">
        <v>14</v>
      </c>
      <c r="F455" s="5" t="s">
        <v>15</v>
      </c>
      <c r="G455" s="5" t="s">
        <v>16</v>
      </c>
      <c r="H455" s="5" t="s">
        <v>17</v>
      </c>
      <c r="I455" s="5" t="s">
        <v>18</v>
      </c>
      <c r="J455" s="5" t="s">
        <v>19</v>
      </c>
      <c r="K455" s="5" t="s">
        <v>20</v>
      </c>
      <c r="L455" s="5" t="s">
        <v>21</v>
      </c>
      <c r="M455" s="5" t="s">
        <v>22</v>
      </c>
      <c r="N455" s="5" t="s">
        <v>23</v>
      </c>
      <c r="O455" s="5" t="s">
        <v>11</v>
      </c>
      <c r="P455" s="5" t="s">
        <v>24</v>
      </c>
      <c r="Q455" s="5" t="s">
        <v>25</v>
      </c>
      <c r="R455" s="5" t="s">
        <v>26</v>
      </c>
      <c r="S455" s="5" t="s">
        <v>12</v>
      </c>
      <c r="T455" s="5" t="s">
        <v>27</v>
      </c>
      <c r="U455" s="5" t="s">
        <v>28</v>
      </c>
      <c r="W455" s="33" t="s">
        <v>29</v>
      </c>
      <c r="X455" s="33">
        <v>6.12</v>
      </c>
    </row>
    <row r="456" spans="1:36" x14ac:dyDescent="0.2">
      <c r="A456" s="5" t="s">
        <v>1</v>
      </c>
      <c r="B456" s="5" t="s">
        <v>1</v>
      </c>
      <c r="C456" s="5" t="s">
        <v>1</v>
      </c>
      <c r="D456" s="5" t="s">
        <v>1</v>
      </c>
      <c r="E456" s="5" t="s">
        <v>1</v>
      </c>
      <c r="F456" s="5" t="s">
        <v>1</v>
      </c>
      <c r="G456" s="5" t="s">
        <v>1</v>
      </c>
      <c r="H456" s="5" t="s">
        <v>1</v>
      </c>
      <c r="I456" s="5" t="s">
        <v>30</v>
      </c>
      <c r="J456" s="5" t="s">
        <v>1</v>
      </c>
      <c r="K456" s="5" t="s">
        <v>30</v>
      </c>
      <c r="L456" s="5" t="s">
        <v>1</v>
      </c>
      <c r="M456" s="5" t="s">
        <v>1</v>
      </c>
      <c r="N456" s="5" t="s">
        <v>1</v>
      </c>
      <c r="O456" s="5" t="s">
        <v>1</v>
      </c>
      <c r="P456" s="5" t="s">
        <v>1</v>
      </c>
      <c r="Q456" s="5" t="s">
        <v>1</v>
      </c>
      <c r="R456" s="5" t="s">
        <v>1</v>
      </c>
      <c r="S456" s="5" t="s">
        <v>1</v>
      </c>
      <c r="T456" s="5" t="s">
        <v>1</v>
      </c>
      <c r="U456" s="5" t="s">
        <v>1</v>
      </c>
      <c r="W456" s="35" t="s">
        <v>31</v>
      </c>
      <c r="X456" s="35">
        <v>3.92</v>
      </c>
    </row>
    <row r="457" spans="1:36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W457" s="33"/>
      <c r="X457" s="33"/>
    </row>
    <row r="458" spans="1:36" x14ac:dyDescent="0.2">
      <c r="A458" s="6" t="s">
        <v>32</v>
      </c>
      <c r="B458" s="6" t="s">
        <v>1</v>
      </c>
      <c r="C458" s="6" t="s">
        <v>1</v>
      </c>
      <c r="D458" s="6" t="s">
        <v>1</v>
      </c>
      <c r="E458" s="6" t="s">
        <v>1</v>
      </c>
      <c r="F458" s="6" t="s">
        <v>1</v>
      </c>
      <c r="G458" s="6" t="s">
        <v>1</v>
      </c>
      <c r="H458" s="6" t="s">
        <v>1</v>
      </c>
      <c r="I458" s="6" t="s">
        <v>1</v>
      </c>
      <c r="J458" s="6" t="s">
        <v>1</v>
      </c>
      <c r="K458" s="6" t="s">
        <v>1</v>
      </c>
      <c r="L458" s="6" t="s">
        <v>1</v>
      </c>
      <c r="M458" s="6" t="s">
        <v>1</v>
      </c>
      <c r="N458" s="6" t="s">
        <v>1</v>
      </c>
      <c r="O458" s="6" t="s">
        <v>1</v>
      </c>
      <c r="P458" s="6" t="s">
        <v>1</v>
      </c>
      <c r="Q458" s="6" t="s">
        <v>1</v>
      </c>
      <c r="R458" s="6" t="s">
        <v>1</v>
      </c>
      <c r="S458" s="6" t="s">
        <v>1</v>
      </c>
      <c r="T458" s="6" t="s">
        <v>1</v>
      </c>
      <c r="U458" s="6" t="s">
        <v>1</v>
      </c>
      <c r="W458" s="33" t="s">
        <v>33</v>
      </c>
      <c r="X458" s="33"/>
    </row>
    <row r="459" spans="1:36" x14ac:dyDescent="0.2">
      <c r="A459" s="2" t="s">
        <v>32</v>
      </c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W459" s="34" t="s">
        <v>1</v>
      </c>
      <c r="X459" s="34" t="s">
        <v>7</v>
      </c>
    </row>
    <row r="460" spans="1:36" x14ac:dyDescent="0.2">
      <c r="A460" s="7" t="s">
        <v>34</v>
      </c>
      <c r="B460" s="7">
        <v>625.80999999999995</v>
      </c>
      <c r="C460" s="7">
        <v>460.06</v>
      </c>
      <c r="D460" s="7">
        <v>357.52</v>
      </c>
      <c r="E460" s="7">
        <v>282.5</v>
      </c>
      <c r="F460" s="7">
        <v>248.81</v>
      </c>
      <c r="G460" s="7">
        <v>199.68</v>
      </c>
      <c r="H460" s="7">
        <v>153.18</v>
      </c>
      <c r="I460" s="7">
        <v>133.32</v>
      </c>
      <c r="J460" s="7">
        <v>91.36</v>
      </c>
      <c r="K460" s="7">
        <v>77.97</v>
      </c>
      <c r="L460" s="7">
        <v>175.74</v>
      </c>
      <c r="M460" s="7">
        <v>174.33</v>
      </c>
      <c r="N460" s="7">
        <v>171.09</v>
      </c>
      <c r="O460" s="7">
        <v>161.82</v>
      </c>
      <c r="P460" s="7">
        <v>162.5</v>
      </c>
      <c r="Q460" s="7">
        <v>155.69999999999999</v>
      </c>
      <c r="R460" s="7">
        <v>145.79</v>
      </c>
      <c r="S460" s="7">
        <v>127.06</v>
      </c>
      <c r="T460" s="7">
        <v>117.1</v>
      </c>
      <c r="U460" s="7">
        <v>107.17</v>
      </c>
      <c r="W460" s="42" t="s">
        <v>34</v>
      </c>
      <c r="X460" s="42">
        <v>700.2</v>
      </c>
    </row>
    <row r="461" spans="1:36" x14ac:dyDescent="0.2">
      <c r="A461" s="2" t="s">
        <v>35</v>
      </c>
      <c r="B461" s="2">
        <v>36.03</v>
      </c>
      <c r="C461" s="2">
        <v>28.68</v>
      </c>
      <c r="D461" s="2">
        <v>26.56</v>
      </c>
      <c r="E461" s="2">
        <v>13.54</v>
      </c>
      <c r="F461" s="2">
        <v>24.61</v>
      </c>
      <c r="G461" s="2">
        <v>30.35</v>
      </c>
      <c r="H461" s="2">
        <v>14.9</v>
      </c>
      <c r="I461" s="2">
        <v>45.93</v>
      </c>
      <c r="J461" s="2">
        <v>17.170000000000002</v>
      </c>
      <c r="K461" s="2">
        <v>15.6</v>
      </c>
      <c r="L461" s="2">
        <v>8.15</v>
      </c>
      <c r="M461" s="2">
        <v>11.97</v>
      </c>
      <c r="N461" s="2">
        <v>17.36</v>
      </c>
      <c r="O461" s="2">
        <v>27.36</v>
      </c>
      <c r="P461" s="2">
        <v>38.76</v>
      </c>
      <c r="Q461" s="2">
        <v>45.28</v>
      </c>
      <c r="R461" s="2">
        <v>34.090000000000003</v>
      </c>
      <c r="S461" s="2">
        <v>21.16</v>
      </c>
      <c r="T461" s="2">
        <v>26.36</v>
      </c>
      <c r="U461" s="2">
        <v>27.93</v>
      </c>
      <c r="W461" s="33" t="s">
        <v>316</v>
      </c>
      <c r="X461" s="33">
        <v>322.10000000000002</v>
      </c>
    </row>
    <row r="462" spans="1:36" x14ac:dyDescent="0.2">
      <c r="A462" s="7" t="s">
        <v>37</v>
      </c>
      <c r="B462" s="7">
        <v>111.12</v>
      </c>
      <c r="C462" s="7">
        <v>83.89</v>
      </c>
      <c r="D462" s="7">
        <v>74.290000000000006</v>
      </c>
      <c r="E462" s="7">
        <v>65.36</v>
      </c>
      <c r="F462" s="7">
        <v>56.1</v>
      </c>
      <c r="G462" s="7">
        <v>46.59</v>
      </c>
      <c r="H462" s="7">
        <v>36.380000000000003</v>
      </c>
      <c r="I462" s="7">
        <v>32.119999999999997</v>
      </c>
      <c r="J462" s="7">
        <v>28.32</v>
      </c>
      <c r="K462" s="7">
        <v>24.9</v>
      </c>
      <c r="L462" s="7">
        <v>30.58</v>
      </c>
      <c r="M462" s="7">
        <v>30.63</v>
      </c>
      <c r="N462" s="7">
        <v>29.06</v>
      </c>
      <c r="O462" s="7">
        <v>29.19</v>
      </c>
      <c r="P462" s="7">
        <v>29.42</v>
      </c>
      <c r="Q462" s="7">
        <v>27.83</v>
      </c>
      <c r="R462" s="7">
        <v>24.68</v>
      </c>
      <c r="S462" s="7">
        <v>23.34</v>
      </c>
      <c r="T462" s="7">
        <v>21.01</v>
      </c>
      <c r="U462" s="7">
        <v>19.86</v>
      </c>
      <c r="W462" s="35" t="s">
        <v>317</v>
      </c>
      <c r="X462" s="35">
        <v>127.6</v>
      </c>
    </row>
    <row r="463" spans="1:36" x14ac:dyDescent="0.2">
      <c r="A463" s="2" t="s">
        <v>39</v>
      </c>
      <c r="B463" s="2">
        <v>91.63</v>
      </c>
      <c r="C463" s="2">
        <v>70.650000000000006</v>
      </c>
      <c r="D463" s="2">
        <v>63.4</v>
      </c>
      <c r="E463" s="2">
        <v>57.42</v>
      </c>
      <c r="F463" s="2">
        <v>48.58</v>
      </c>
      <c r="G463" s="2">
        <v>41.11</v>
      </c>
      <c r="H463" s="2">
        <v>32.06</v>
      </c>
      <c r="I463" s="2">
        <v>28.75</v>
      </c>
      <c r="J463" s="2">
        <v>25.31</v>
      </c>
      <c r="K463" s="2">
        <v>22.22</v>
      </c>
      <c r="L463" s="2">
        <v>24.34</v>
      </c>
      <c r="M463" s="2">
        <v>24.41</v>
      </c>
      <c r="N463" s="2">
        <v>22.84</v>
      </c>
      <c r="O463" s="2">
        <v>23.32</v>
      </c>
      <c r="P463" s="2">
        <v>24.37</v>
      </c>
      <c r="Q463" s="2">
        <v>22.67</v>
      </c>
      <c r="R463" s="2">
        <v>21.27</v>
      </c>
      <c r="S463" s="2">
        <v>19.690000000000001</v>
      </c>
      <c r="T463" s="2">
        <v>17.62</v>
      </c>
      <c r="U463" s="2">
        <v>16.64</v>
      </c>
      <c r="W463" s="33" t="s">
        <v>318</v>
      </c>
      <c r="X463" s="33">
        <v>248.8</v>
      </c>
    </row>
    <row r="464" spans="1:36" x14ac:dyDescent="0.2">
      <c r="A464" s="7" t="s">
        <v>40</v>
      </c>
      <c r="B464" s="7">
        <v>19.489999999999998</v>
      </c>
      <c r="C464" s="7">
        <v>13.24</v>
      </c>
      <c r="D464" s="7">
        <v>10.9</v>
      </c>
      <c r="E464" s="7">
        <v>7.94</v>
      </c>
      <c r="F464" s="7">
        <v>7.52</v>
      </c>
      <c r="G464" s="7">
        <v>5.48</v>
      </c>
      <c r="H464" s="7">
        <v>4.3099999999999996</v>
      </c>
      <c r="I464" s="7">
        <v>3.38</v>
      </c>
      <c r="J464" s="7">
        <v>3.01</v>
      </c>
      <c r="K464" s="7">
        <v>2.68</v>
      </c>
      <c r="L464" s="7">
        <v>6.23</v>
      </c>
      <c r="M464" s="7">
        <v>6.22</v>
      </c>
      <c r="N464" s="7">
        <v>6.23</v>
      </c>
      <c r="O464" s="7">
        <v>5.87</v>
      </c>
      <c r="P464" s="7">
        <v>5.05</v>
      </c>
      <c r="Q464" s="7">
        <v>5.16</v>
      </c>
      <c r="R464" s="7">
        <v>3.41</v>
      </c>
      <c r="S464" s="7">
        <v>3.65</v>
      </c>
      <c r="T464" s="7">
        <v>3.38</v>
      </c>
      <c r="U464" s="7">
        <v>3.22</v>
      </c>
      <c r="W464" s="33"/>
      <c r="X464" s="33"/>
    </row>
    <row r="465" spans="1:36" x14ac:dyDescent="0.2">
      <c r="A465" s="2" t="s">
        <v>42</v>
      </c>
      <c r="B465" s="2">
        <v>16.190000000000001</v>
      </c>
      <c r="C465" s="2">
        <v>10.54</v>
      </c>
      <c r="D465" s="2">
        <v>8.6999999999999993</v>
      </c>
      <c r="E465" s="2">
        <v>5.64</v>
      </c>
      <c r="F465" s="2">
        <v>5.22</v>
      </c>
      <c r="G465" s="2">
        <v>3.08</v>
      </c>
      <c r="H465" s="2">
        <v>2.11</v>
      </c>
      <c r="I465" s="2">
        <v>1.88</v>
      </c>
      <c r="J465" s="2">
        <v>1.61</v>
      </c>
      <c r="K465" s="2">
        <v>1.28</v>
      </c>
      <c r="L465" s="15" t="s">
        <v>59</v>
      </c>
      <c r="M465" s="15" t="s">
        <v>59</v>
      </c>
      <c r="N465" s="15" t="s">
        <v>59</v>
      </c>
      <c r="O465" s="15" t="s">
        <v>59</v>
      </c>
      <c r="P465" s="15" t="s">
        <v>59</v>
      </c>
      <c r="Q465" s="15" t="s">
        <v>59</v>
      </c>
      <c r="R465" s="15" t="s">
        <v>59</v>
      </c>
      <c r="S465" s="15" t="s">
        <v>59</v>
      </c>
      <c r="T465" s="15" t="s">
        <v>59</v>
      </c>
      <c r="U465" s="15" t="s">
        <v>59</v>
      </c>
      <c r="W465" s="33" t="s">
        <v>41</v>
      </c>
      <c r="X465" s="33"/>
    </row>
    <row r="466" spans="1:36" x14ac:dyDescent="0.2">
      <c r="A466" s="6" t="s">
        <v>286</v>
      </c>
      <c r="B466" s="6">
        <v>3.3</v>
      </c>
      <c r="C466" s="6">
        <v>2.7</v>
      </c>
      <c r="D466" s="6">
        <v>2.2000000000000002</v>
      </c>
      <c r="E466" s="6">
        <v>2.2999999999999998</v>
      </c>
      <c r="F466" s="6">
        <v>2.2999999999999998</v>
      </c>
      <c r="G466" s="6">
        <v>2.4</v>
      </c>
      <c r="H466" s="6">
        <v>2.2000000000000002</v>
      </c>
      <c r="I466" s="6">
        <v>1.5</v>
      </c>
      <c r="J466" s="6">
        <v>1.4</v>
      </c>
      <c r="K466" s="6">
        <v>1.4</v>
      </c>
      <c r="L466" s="16" t="s">
        <v>59</v>
      </c>
      <c r="M466" s="16" t="s">
        <v>59</v>
      </c>
      <c r="N466" s="16" t="s">
        <v>59</v>
      </c>
      <c r="O466" s="16" t="s">
        <v>59</v>
      </c>
      <c r="P466" s="16" t="s">
        <v>59</v>
      </c>
      <c r="Q466" s="16" t="s">
        <v>59</v>
      </c>
      <c r="R466" s="16" t="s">
        <v>59</v>
      </c>
      <c r="S466" s="16" t="s">
        <v>59</v>
      </c>
      <c r="T466" s="16" t="s">
        <v>59</v>
      </c>
      <c r="U466" s="16" t="s">
        <v>59</v>
      </c>
      <c r="W466" s="34" t="s">
        <v>1</v>
      </c>
      <c r="X466" s="34" t="s">
        <v>7</v>
      </c>
    </row>
    <row r="467" spans="1:36" x14ac:dyDescent="0.2">
      <c r="A467" s="11" t="s">
        <v>43</v>
      </c>
      <c r="B467" s="11">
        <v>514.69000000000005</v>
      </c>
      <c r="C467" s="11">
        <v>376.17</v>
      </c>
      <c r="D467" s="11">
        <v>283.23</v>
      </c>
      <c r="E467" s="11">
        <v>217.14</v>
      </c>
      <c r="F467" s="11">
        <v>192.71</v>
      </c>
      <c r="G467" s="11">
        <v>153.09</v>
      </c>
      <c r="H467" s="11">
        <v>116.81</v>
      </c>
      <c r="I467" s="11">
        <v>101.2</v>
      </c>
      <c r="J467" s="11">
        <v>63.04</v>
      </c>
      <c r="K467" s="11">
        <v>53.07</v>
      </c>
      <c r="L467" s="11">
        <v>145.16</v>
      </c>
      <c r="M467" s="11">
        <v>143.69999999999999</v>
      </c>
      <c r="N467" s="11">
        <v>142.03</v>
      </c>
      <c r="O467" s="11">
        <v>132.63999999999999</v>
      </c>
      <c r="P467" s="11">
        <v>133.08000000000001</v>
      </c>
      <c r="Q467" s="11">
        <v>127.87</v>
      </c>
      <c r="R467" s="11">
        <v>121.11</v>
      </c>
      <c r="S467" s="11">
        <v>103.72</v>
      </c>
      <c r="T467" s="11">
        <v>96.1</v>
      </c>
      <c r="U467" s="11">
        <v>87.31</v>
      </c>
      <c r="W467" s="42" t="s">
        <v>44</v>
      </c>
      <c r="X467" s="42">
        <v>-2.9</v>
      </c>
    </row>
    <row r="468" spans="1:36" x14ac:dyDescent="0.2">
      <c r="A468" s="6" t="s">
        <v>35</v>
      </c>
      <c r="B468" s="6">
        <v>36.82</v>
      </c>
      <c r="C468" s="6">
        <v>32.82</v>
      </c>
      <c r="D468" s="6">
        <v>30.43</v>
      </c>
      <c r="E468" s="6">
        <v>12.68</v>
      </c>
      <c r="F468" s="6">
        <v>25.88</v>
      </c>
      <c r="G468" s="6">
        <v>31.06</v>
      </c>
      <c r="H468" s="6">
        <v>15.42</v>
      </c>
      <c r="I468" s="6">
        <v>60.52</v>
      </c>
      <c r="J468" s="6">
        <v>18.8</v>
      </c>
      <c r="K468" s="6">
        <v>20.41</v>
      </c>
      <c r="L468" s="6">
        <v>9.08</v>
      </c>
      <c r="M468" s="6">
        <v>12.39</v>
      </c>
      <c r="N468" s="6">
        <v>17.28</v>
      </c>
      <c r="O468" s="6">
        <v>27.88</v>
      </c>
      <c r="P468" s="6">
        <v>38.479999999999997</v>
      </c>
      <c r="Q468" s="6">
        <v>46.44</v>
      </c>
      <c r="R468" s="6">
        <v>36.020000000000003</v>
      </c>
      <c r="S468" s="6">
        <v>22.78</v>
      </c>
      <c r="T468" s="6">
        <v>29.67</v>
      </c>
      <c r="U468" s="6">
        <v>31.63</v>
      </c>
      <c r="W468" s="46" t="s">
        <v>287</v>
      </c>
      <c r="X468" s="46">
        <v>-3.2</v>
      </c>
    </row>
    <row r="469" spans="1:36" x14ac:dyDescent="0.2">
      <c r="A469" s="2" t="s">
        <v>48</v>
      </c>
      <c r="B469" s="2">
        <v>82.24</v>
      </c>
      <c r="C469" s="2">
        <v>81.77</v>
      </c>
      <c r="D469" s="2">
        <v>79.22</v>
      </c>
      <c r="E469" s="2">
        <v>76.86</v>
      </c>
      <c r="F469" s="2">
        <v>77.45</v>
      </c>
      <c r="G469" s="2">
        <v>76.67</v>
      </c>
      <c r="H469" s="2">
        <v>76.25</v>
      </c>
      <c r="I469" s="2">
        <v>75.91</v>
      </c>
      <c r="J469" s="2">
        <v>69.010000000000005</v>
      </c>
      <c r="K469" s="2">
        <v>68.06</v>
      </c>
      <c r="L469" s="2">
        <v>82.6</v>
      </c>
      <c r="M469" s="2">
        <v>82.43</v>
      </c>
      <c r="N469" s="2">
        <v>83.01</v>
      </c>
      <c r="O469" s="2">
        <v>81.96</v>
      </c>
      <c r="P469" s="2">
        <v>81.89</v>
      </c>
      <c r="Q469" s="2">
        <v>82.12</v>
      </c>
      <c r="R469" s="2">
        <v>83.07</v>
      </c>
      <c r="S469" s="2">
        <v>81.63</v>
      </c>
      <c r="T469" s="2">
        <v>82.06</v>
      </c>
      <c r="U469" s="2">
        <v>81.47</v>
      </c>
      <c r="W469" s="35" t="s">
        <v>57</v>
      </c>
      <c r="X469" s="36">
        <v>-4</v>
      </c>
    </row>
    <row r="470" spans="1:36" x14ac:dyDescent="0.2">
      <c r="A470" s="7" t="s">
        <v>74</v>
      </c>
      <c r="B470" s="7">
        <v>348.08</v>
      </c>
      <c r="C470" s="7">
        <v>263.48</v>
      </c>
      <c r="D470" s="7">
        <v>189.82</v>
      </c>
      <c r="E470" s="7">
        <v>146.88</v>
      </c>
      <c r="F470" s="7">
        <v>135.46</v>
      </c>
      <c r="G470" s="7">
        <v>110.19</v>
      </c>
      <c r="H470" s="7">
        <v>78.28</v>
      </c>
      <c r="I470" s="7">
        <v>67.33</v>
      </c>
      <c r="J470" s="7">
        <v>33.840000000000003</v>
      </c>
      <c r="K470" s="7">
        <v>30.05</v>
      </c>
      <c r="L470" s="7">
        <v>94.14</v>
      </c>
      <c r="M470" s="7">
        <v>96.94</v>
      </c>
      <c r="N470" s="7">
        <v>95.43</v>
      </c>
      <c r="O470" s="7">
        <v>90.53</v>
      </c>
      <c r="P470" s="7">
        <v>93.26</v>
      </c>
      <c r="Q470" s="7">
        <v>86.65</v>
      </c>
      <c r="R470" s="7">
        <v>78.37</v>
      </c>
      <c r="S470" s="7">
        <v>73.91</v>
      </c>
      <c r="T470" s="7">
        <v>65.430000000000007</v>
      </c>
      <c r="U470" s="7">
        <v>60.86</v>
      </c>
      <c r="W470" s="33" t="s">
        <v>60</v>
      </c>
      <c r="X470" s="40">
        <v>-3</v>
      </c>
    </row>
    <row r="471" spans="1:36" x14ac:dyDescent="0.2">
      <c r="A471" s="2" t="s">
        <v>289</v>
      </c>
      <c r="B471" s="2">
        <v>348.08</v>
      </c>
      <c r="C471" s="2">
        <v>263.48</v>
      </c>
      <c r="D471" s="2">
        <v>189.82</v>
      </c>
      <c r="E471" s="2">
        <v>146.88</v>
      </c>
      <c r="F471" s="2">
        <v>135.46</v>
      </c>
      <c r="G471" s="2">
        <v>110.19</v>
      </c>
      <c r="H471" s="2">
        <v>78.28</v>
      </c>
      <c r="I471" s="2">
        <v>67.33</v>
      </c>
      <c r="J471" s="2">
        <v>33.840000000000003</v>
      </c>
      <c r="K471" s="2">
        <v>30.05</v>
      </c>
      <c r="L471" s="2">
        <v>94.14</v>
      </c>
      <c r="M471" s="2">
        <v>96.94</v>
      </c>
      <c r="N471" s="2">
        <v>95.43</v>
      </c>
      <c r="O471" s="2">
        <v>90.53</v>
      </c>
      <c r="P471" s="2">
        <v>93.26</v>
      </c>
      <c r="Q471" s="2">
        <v>86.65</v>
      </c>
      <c r="R471" s="2">
        <v>78.37</v>
      </c>
      <c r="S471" s="2">
        <v>73.91</v>
      </c>
      <c r="T471" s="2">
        <v>65.430000000000007</v>
      </c>
      <c r="U471" s="2">
        <v>60.86</v>
      </c>
      <c r="W471" s="35" t="s">
        <v>288</v>
      </c>
      <c r="X471" s="39" t="s">
        <v>59</v>
      </c>
    </row>
    <row r="472" spans="1:36" x14ac:dyDescent="0.2">
      <c r="A472" s="7" t="s">
        <v>45</v>
      </c>
      <c r="B472" s="7">
        <v>166.61</v>
      </c>
      <c r="C472" s="7">
        <v>112.69</v>
      </c>
      <c r="D472" s="7">
        <v>93.41</v>
      </c>
      <c r="E472" s="7">
        <v>70.260000000000005</v>
      </c>
      <c r="F472" s="7">
        <v>57.25</v>
      </c>
      <c r="G472" s="7">
        <v>42.9</v>
      </c>
      <c r="H472" s="7">
        <v>38.53</v>
      </c>
      <c r="I472" s="7">
        <v>33.869999999999997</v>
      </c>
      <c r="J472" s="7">
        <v>29.2</v>
      </c>
      <c r="K472" s="7">
        <v>23.02</v>
      </c>
      <c r="L472" s="7">
        <v>51.02</v>
      </c>
      <c r="M472" s="7">
        <v>46.77</v>
      </c>
      <c r="N472" s="7">
        <v>46.6</v>
      </c>
      <c r="O472" s="7">
        <v>42.1</v>
      </c>
      <c r="P472" s="7">
        <v>39.82</v>
      </c>
      <c r="Q472" s="7">
        <v>41.22</v>
      </c>
      <c r="R472" s="7">
        <v>42.74</v>
      </c>
      <c r="S472" s="7">
        <v>29.81</v>
      </c>
      <c r="T472" s="7">
        <v>30.67</v>
      </c>
      <c r="U472" s="7">
        <v>26.46</v>
      </c>
      <c r="W472" s="33" t="s">
        <v>319</v>
      </c>
      <c r="X472" s="33">
        <v>3</v>
      </c>
    </row>
    <row r="473" spans="1:36" x14ac:dyDescent="0.2">
      <c r="A473" s="2" t="s">
        <v>35</v>
      </c>
      <c r="B473" s="2">
        <v>47.85</v>
      </c>
      <c r="C473" s="2">
        <v>20.64</v>
      </c>
      <c r="D473" s="2">
        <v>32.950000000000003</v>
      </c>
      <c r="E473" s="2">
        <v>22.73</v>
      </c>
      <c r="F473" s="2">
        <v>33.44</v>
      </c>
      <c r="G473" s="2">
        <v>11.35</v>
      </c>
      <c r="H473" s="2">
        <v>13.74</v>
      </c>
      <c r="I473" s="2">
        <v>15.99</v>
      </c>
      <c r="J473" s="2">
        <v>26.87</v>
      </c>
      <c r="K473" s="2">
        <v>28.12</v>
      </c>
      <c r="L473" s="2">
        <v>28.14</v>
      </c>
      <c r="M473" s="2">
        <v>13.46</v>
      </c>
      <c r="N473" s="2">
        <v>9.0500000000000007</v>
      </c>
      <c r="O473" s="2">
        <v>41.22</v>
      </c>
      <c r="P473" s="2">
        <v>29.83</v>
      </c>
      <c r="Q473" s="2">
        <v>55.81</v>
      </c>
      <c r="R473" s="2">
        <v>65.98</v>
      </c>
      <c r="S473" s="2">
        <v>1.62</v>
      </c>
      <c r="T473" s="2">
        <v>26.11</v>
      </c>
      <c r="U473" s="2">
        <v>16.559999999999999</v>
      </c>
      <c r="W473" s="35" t="s">
        <v>320</v>
      </c>
      <c r="X473" s="36">
        <v>-3.1</v>
      </c>
    </row>
    <row r="474" spans="1:36" x14ac:dyDescent="0.2">
      <c r="A474" s="6" t="s">
        <v>48</v>
      </c>
      <c r="B474" s="6">
        <v>26.62</v>
      </c>
      <c r="C474" s="6">
        <v>24.49</v>
      </c>
      <c r="D474" s="6">
        <v>26.13</v>
      </c>
      <c r="E474" s="6">
        <v>24.87</v>
      </c>
      <c r="F474" s="6">
        <v>23.01</v>
      </c>
      <c r="G474" s="6">
        <v>21.49</v>
      </c>
      <c r="H474" s="6">
        <v>25.15</v>
      </c>
      <c r="I474" s="6">
        <v>25.41</v>
      </c>
      <c r="J474" s="6">
        <v>31.97</v>
      </c>
      <c r="K474" s="6">
        <v>29.52</v>
      </c>
      <c r="L474" s="6">
        <v>29.03</v>
      </c>
      <c r="M474" s="6">
        <v>26.83</v>
      </c>
      <c r="N474" s="6">
        <v>27.24</v>
      </c>
      <c r="O474" s="6">
        <v>26.02</v>
      </c>
      <c r="P474" s="6">
        <v>24.5</v>
      </c>
      <c r="Q474" s="6">
        <v>26.47</v>
      </c>
      <c r="R474" s="6">
        <v>29.31</v>
      </c>
      <c r="S474" s="6">
        <v>23.47</v>
      </c>
      <c r="T474" s="6">
        <v>26.19</v>
      </c>
      <c r="U474" s="6">
        <v>24.69</v>
      </c>
      <c r="W474" s="46" t="s">
        <v>51</v>
      </c>
      <c r="X474" s="47">
        <v>3041</v>
      </c>
      <c r="AF474" s="2"/>
      <c r="AG474" s="2"/>
      <c r="AH474" s="2"/>
      <c r="AI474" s="2"/>
      <c r="AJ474" s="2"/>
    </row>
    <row r="475" spans="1:36" x14ac:dyDescent="0.2">
      <c r="A475" s="11" t="s">
        <v>50</v>
      </c>
      <c r="B475" s="11">
        <v>3.9</v>
      </c>
      <c r="C475" s="11">
        <v>-0.15</v>
      </c>
      <c r="D475" s="11">
        <v>-1.74</v>
      </c>
      <c r="E475" s="11">
        <v>3.63</v>
      </c>
      <c r="F475" s="11">
        <v>3.09</v>
      </c>
      <c r="G475" s="11">
        <v>0</v>
      </c>
      <c r="H475" s="11">
        <v>-1.48</v>
      </c>
      <c r="I475" s="11">
        <v>0</v>
      </c>
      <c r="J475" s="11">
        <v>-0.25</v>
      </c>
      <c r="K475" s="11">
        <v>-0.4</v>
      </c>
      <c r="L475" s="11">
        <v>-0.13</v>
      </c>
      <c r="M475" s="11">
        <v>0</v>
      </c>
      <c r="N475" s="11">
        <v>87.3</v>
      </c>
      <c r="O475" s="11">
        <v>2.33</v>
      </c>
      <c r="P475" s="11">
        <v>0.8</v>
      </c>
      <c r="Q475" s="11">
        <v>0.47</v>
      </c>
      <c r="R475" s="11">
        <v>0.3</v>
      </c>
      <c r="S475" s="11">
        <v>7.0000000000000007E-2</v>
      </c>
      <c r="T475" s="11">
        <v>0</v>
      </c>
      <c r="U475" s="11">
        <v>0.05</v>
      </c>
      <c r="W475" s="35" t="s">
        <v>287</v>
      </c>
      <c r="X475" s="45">
        <v>2540</v>
      </c>
      <c r="AF475" s="2"/>
      <c r="AG475" s="2"/>
      <c r="AH475" s="2"/>
      <c r="AI475" s="2"/>
      <c r="AJ475" s="2"/>
    </row>
    <row r="476" spans="1:36" x14ac:dyDescent="0.2">
      <c r="A476" s="6" t="s">
        <v>52</v>
      </c>
      <c r="B476" s="6">
        <v>0</v>
      </c>
      <c r="C476" s="6">
        <v>0</v>
      </c>
      <c r="D476" s="6">
        <v>0</v>
      </c>
      <c r="E476" s="6">
        <v>0</v>
      </c>
      <c r="F476" s="6">
        <v>0</v>
      </c>
      <c r="G476" s="6">
        <v>0</v>
      </c>
      <c r="H476" s="6">
        <v>0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6">
        <v>1.35</v>
      </c>
      <c r="O476" s="6">
        <v>0</v>
      </c>
      <c r="P476" s="6">
        <v>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W476" s="33" t="s">
        <v>288</v>
      </c>
      <c r="X476" s="33">
        <v>450</v>
      </c>
      <c r="Y476" s="33"/>
      <c r="Z476" s="33"/>
      <c r="AA476" s="33"/>
      <c r="AB476" s="33"/>
      <c r="AC476" s="33"/>
    </row>
    <row r="477" spans="1:36" x14ac:dyDescent="0.2">
      <c r="A477" s="2" t="s">
        <v>54</v>
      </c>
      <c r="B477" s="2">
        <v>3.9</v>
      </c>
      <c r="C477" s="9">
        <v>-0.15</v>
      </c>
      <c r="D477" s="9">
        <v>-1.74</v>
      </c>
      <c r="E477" s="2">
        <v>3.63</v>
      </c>
      <c r="F477" s="2">
        <v>3.09</v>
      </c>
      <c r="G477" s="2">
        <v>0</v>
      </c>
      <c r="H477" s="9">
        <v>-1.48</v>
      </c>
      <c r="I477" s="2">
        <v>0</v>
      </c>
      <c r="J477" s="9">
        <v>-0.25</v>
      </c>
      <c r="K477" s="9">
        <v>-0.4</v>
      </c>
      <c r="L477" s="9">
        <v>-0.13</v>
      </c>
      <c r="M477" s="2">
        <v>0</v>
      </c>
      <c r="N477" s="2">
        <v>85.95</v>
      </c>
      <c r="O477" s="2">
        <v>2.33</v>
      </c>
      <c r="P477" s="2">
        <v>0.8</v>
      </c>
      <c r="Q477" s="2">
        <v>0.47</v>
      </c>
      <c r="R477" s="2">
        <v>0.3</v>
      </c>
      <c r="S477" s="2">
        <v>7.0000000000000007E-2</v>
      </c>
      <c r="T477" s="2">
        <v>0</v>
      </c>
      <c r="U477" s="2">
        <v>0.05</v>
      </c>
      <c r="W477" s="35" t="s">
        <v>53</v>
      </c>
      <c r="X477" s="35">
        <v>6</v>
      </c>
      <c r="Y477" s="33"/>
      <c r="Z477" s="33"/>
      <c r="AA477" s="33"/>
      <c r="AB477" s="33"/>
      <c r="AC477" s="33"/>
    </row>
    <row r="478" spans="1:36" x14ac:dyDescent="0.2">
      <c r="A478" s="7" t="s">
        <v>92</v>
      </c>
      <c r="B478" s="7">
        <v>21.29</v>
      </c>
      <c r="C478" s="7">
        <v>18.23</v>
      </c>
      <c r="D478" s="7">
        <v>21.23</v>
      </c>
      <c r="E478" s="7">
        <v>14.98</v>
      </c>
      <c r="F478" s="7">
        <v>16.78</v>
      </c>
      <c r="G478" s="7">
        <v>17.14</v>
      </c>
      <c r="H478" s="7">
        <v>10.119999999999999</v>
      </c>
      <c r="I478" s="7">
        <v>5.13</v>
      </c>
      <c r="J478" s="7">
        <v>4.4000000000000004</v>
      </c>
      <c r="K478" s="7">
        <v>3.48</v>
      </c>
      <c r="L478" s="7">
        <v>9.1999999999999993</v>
      </c>
      <c r="M478" s="7">
        <v>8.4700000000000006</v>
      </c>
      <c r="N478" s="7">
        <v>8.91</v>
      </c>
      <c r="O478" s="7">
        <v>6.42</v>
      </c>
      <c r="P478" s="7">
        <v>5.13</v>
      </c>
      <c r="Q478" s="7">
        <v>5.2</v>
      </c>
      <c r="R478" s="7">
        <v>4.54</v>
      </c>
      <c r="S478" s="7">
        <v>4.8899999999999997</v>
      </c>
      <c r="T478" s="7">
        <v>4.5199999999999996</v>
      </c>
      <c r="U478" s="7">
        <v>4.24</v>
      </c>
      <c r="W478" s="33" t="s">
        <v>55</v>
      </c>
      <c r="X478" s="33">
        <v>486</v>
      </c>
    </row>
    <row r="479" spans="1:36" x14ac:dyDescent="0.2">
      <c r="A479" s="2" t="s">
        <v>290</v>
      </c>
      <c r="B479" s="2">
        <v>21.29</v>
      </c>
      <c r="C479" s="2">
        <v>18.23</v>
      </c>
      <c r="D479" s="2">
        <v>21.23</v>
      </c>
      <c r="E479" s="2">
        <v>14.98</v>
      </c>
      <c r="F479" s="2">
        <v>16.78</v>
      </c>
      <c r="G479" s="2">
        <v>17.14</v>
      </c>
      <c r="H479" s="2">
        <v>10.119999999999999</v>
      </c>
      <c r="I479" s="2">
        <v>5.13</v>
      </c>
      <c r="J479" s="2">
        <v>4.4000000000000004</v>
      </c>
      <c r="K479" s="2">
        <v>3.48</v>
      </c>
      <c r="L479" s="2">
        <v>9.1999999999999993</v>
      </c>
      <c r="M479" s="2">
        <v>8.4700000000000006</v>
      </c>
      <c r="N479" s="2">
        <v>8.91</v>
      </c>
      <c r="O479" s="2">
        <v>6.42</v>
      </c>
      <c r="P479" s="2">
        <v>5.13</v>
      </c>
      <c r="Q479" s="2">
        <v>5.2</v>
      </c>
      <c r="R479" s="2">
        <v>4.54</v>
      </c>
      <c r="S479" s="2">
        <v>4.8899999999999997</v>
      </c>
      <c r="T479" s="2">
        <v>4.5199999999999996</v>
      </c>
      <c r="U479" s="2">
        <v>4.24</v>
      </c>
      <c r="W479" s="35" t="s">
        <v>321</v>
      </c>
      <c r="X479" s="39" t="s">
        <v>59</v>
      </c>
    </row>
    <row r="480" spans="1:36" x14ac:dyDescent="0.2">
      <c r="A480" s="7" t="s">
        <v>56</v>
      </c>
      <c r="B480" s="7">
        <v>2.0299999999999998</v>
      </c>
      <c r="C480" s="7">
        <v>0</v>
      </c>
      <c r="D480" s="7">
        <v>1.1200000000000001</v>
      </c>
      <c r="E480" s="7">
        <v>0</v>
      </c>
      <c r="F480" s="7">
        <v>16.62</v>
      </c>
      <c r="G480" s="7">
        <v>0</v>
      </c>
      <c r="H480" s="14" t="s">
        <v>59</v>
      </c>
      <c r="I480" s="14" t="s">
        <v>59</v>
      </c>
      <c r="J480" s="14" t="s">
        <v>59</v>
      </c>
      <c r="K480" s="7">
        <v>3.3</v>
      </c>
      <c r="L480" s="7">
        <v>2.06</v>
      </c>
      <c r="M480" s="7">
        <v>1.53</v>
      </c>
      <c r="N480" s="7">
        <v>1.81</v>
      </c>
      <c r="O480" s="7">
        <v>1.3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W480" s="33" t="s">
        <v>66</v>
      </c>
      <c r="X480" s="33">
        <v>24.8</v>
      </c>
    </row>
    <row r="481" spans="1:24" x14ac:dyDescent="0.2">
      <c r="A481" s="2" t="s">
        <v>65</v>
      </c>
      <c r="B481" s="2">
        <v>2.0299999999999998</v>
      </c>
      <c r="C481" s="2">
        <v>0</v>
      </c>
      <c r="D481" s="2">
        <v>0</v>
      </c>
      <c r="E481" s="2">
        <v>0</v>
      </c>
      <c r="F481" s="2">
        <v>0</v>
      </c>
      <c r="G481" s="2">
        <v>0</v>
      </c>
      <c r="H481" s="2">
        <v>0</v>
      </c>
      <c r="I481" s="2">
        <v>0</v>
      </c>
      <c r="J481" s="2">
        <v>0</v>
      </c>
      <c r="K481" s="2">
        <v>3.3</v>
      </c>
      <c r="L481" s="2">
        <v>2.06</v>
      </c>
      <c r="M481" s="2">
        <v>1.53</v>
      </c>
      <c r="N481" s="2">
        <v>1.81</v>
      </c>
      <c r="O481" s="2">
        <v>1.3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W481" s="33"/>
      <c r="X481" s="33"/>
    </row>
    <row r="482" spans="1:24" x14ac:dyDescent="0.2">
      <c r="A482" s="7" t="s">
        <v>292</v>
      </c>
      <c r="B482" s="7">
        <v>0</v>
      </c>
      <c r="C482" s="7">
        <v>0</v>
      </c>
      <c r="D482" s="7">
        <v>1.1200000000000001</v>
      </c>
      <c r="E482" s="7">
        <v>0</v>
      </c>
      <c r="F482" s="7">
        <v>16.62</v>
      </c>
      <c r="G482" s="7">
        <v>0</v>
      </c>
      <c r="H482" s="14" t="s">
        <v>59</v>
      </c>
      <c r="I482" s="14" t="s">
        <v>59</v>
      </c>
      <c r="J482" s="14" t="s">
        <v>59</v>
      </c>
      <c r="K482" s="14" t="s">
        <v>59</v>
      </c>
      <c r="L482" s="14" t="s">
        <v>59</v>
      </c>
      <c r="M482" s="14" t="s">
        <v>59</v>
      </c>
      <c r="N482" s="14" t="s">
        <v>59</v>
      </c>
      <c r="O482" s="14" t="s">
        <v>59</v>
      </c>
      <c r="P482" s="14" t="s">
        <v>59</v>
      </c>
      <c r="Q482" s="14" t="s">
        <v>59</v>
      </c>
      <c r="R482" s="14" t="s">
        <v>59</v>
      </c>
      <c r="S482" s="7">
        <v>0</v>
      </c>
      <c r="T482" s="7">
        <v>0</v>
      </c>
      <c r="U482" s="7">
        <v>0</v>
      </c>
      <c r="W482" s="33" t="s">
        <v>69</v>
      </c>
      <c r="X482" s="33"/>
    </row>
    <row r="483" spans="1:24" x14ac:dyDescent="0.2">
      <c r="A483" s="2" t="s">
        <v>322</v>
      </c>
      <c r="B483" s="2">
        <v>0</v>
      </c>
      <c r="C483" s="2">
        <v>0</v>
      </c>
      <c r="D483" s="2">
        <v>1.1200000000000001</v>
      </c>
      <c r="E483" s="2">
        <v>0</v>
      </c>
      <c r="F483" s="2">
        <v>13.82</v>
      </c>
      <c r="G483" s="2">
        <v>0</v>
      </c>
      <c r="H483" s="15" t="s">
        <v>59</v>
      </c>
      <c r="I483" s="15" t="s">
        <v>59</v>
      </c>
      <c r="J483" s="15" t="s">
        <v>59</v>
      </c>
      <c r="K483" s="15" t="s">
        <v>59</v>
      </c>
      <c r="L483" s="15" t="s">
        <v>59</v>
      </c>
      <c r="M483" s="15" t="s">
        <v>59</v>
      </c>
      <c r="N483" s="15" t="s">
        <v>59</v>
      </c>
      <c r="O483" s="15" t="s">
        <v>59</v>
      </c>
      <c r="P483" s="15" t="s">
        <v>59</v>
      </c>
      <c r="Q483" s="15" t="s">
        <v>59</v>
      </c>
      <c r="R483" s="15" t="s">
        <v>59</v>
      </c>
      <c r="S483" s="2">
        <v>0</v>
      </c>
      <c r="T483" s="2">
        <v>0</v>
      </c>
      <c r="U483" s="2">
        <v>0</v>
      </c>
      <c r="W483" s="34" t="s">
        <v>1</v>
      </c>
      <c r="X483" s="34" t="s">
        <v>7</v>
      </c>
    </row>
    <row r="484" spans="1:24" x14ac:dyDescent="0.2">
      <c r="A484" s="6" t="s">
        <v>293</v>
      </c>
      <c r="B484" s="16" t="s">
        <v>59</v>
      </c>
      <c r="C484" s="16" t="s">
        <v>59</v>
      </c>
      <c r="D484" s="16" t="s">
        <v>59</v>
      </c>
      <c r="E484" s="16" t="s">
        <v>59</v>
      </c>
      <c r="F484" s="6">
        <v>2.8</v>
      </c>
      <c r="G484" s="16" t="s">
        <v>59</v>
      </c>
      <c r="H484" s="16" t="s">
        <v>59</v>
      </c>
      <c r="I484" s="16" t="s">
        <v>59</v>
      </c>
      <c r="J484" s="16" t="s">
        <v>59</v>
      </c>
      <c r="K484" s="16" t="s">
        <v>59</v>
      </c>
      <c r="L484" s="16" t="s">
        <v>59</v>
      </c>
      <c r="M484" s="16" t="s">
        <v>59</v>
      </c>
      <c r="N484" s="16" t="s">
        <v>59</v>
      </c>
      <c r="O484" s="16" t="s">
        <v>59</v>
      </c>
      <c r="P484" s="16" t="s">
        <v>59</v>
      </c>
      <c r="Q484" s="16" t="s">
        <v>59</v>
      </c>
      <c r="R484" s="16" t="s">
        <v>59</v>
      </c>
      <c r="S484" s="16" t="s">
        <v>59</v>
      </c>
      <c r="T484" s="16" t="s">
        <v>59</v>
      </c>
      <c r="U484" s="16" t="s">
        <v>59</v>
      </c>
      <c r="W484" s="35" t="s">
        <v>34</v>
      </c>
      <c r="X484" s="35">
        <v>700.2</v>
      </c>
    </row>
    <row r="485" spans="1:24" x14ac:dyDescent="0.2">
      <c r="A485" s="11" t="s">
        <v>71</v>
      </c>
      <c r="B485" s="11">
        <v>147.19</v>
      </c>
      <c r="C485" s="11">
        <v>94.31</v>
      </c>
      <c r="D485" s="11">
        <v>69.319999999999993</v>
      </c>
      <c r="E485" s="11">
        <v>58.91</v>
      </c>
      <c r="F485" s="11">
        <v>26.94</v>
      </c>
      <c r="G485" s="11">
        <v>25.77</v>
      </c>
      <c r="H485" s="11">
        <v>26.93</v>
      </c>
      <c r="I485" s="11">
        <v>28.74</v>
      </c>
      <c r="J485" s="11">
        <v>24.55</v>
      </c>
      <c r="K485" s="11">
        <v>15.85</v>
      </c>
      <c r="L485" s="11">
        <v>39.630000000000003</v>
      </c>
      <c r="M485" s="11">
        <v>36.770000000000003</v>
      </c>
      <c r="N485" s="11">
        <v>123.19</v>
      </c>
      <c r="O485" s="11">
        <v>36.71</v>
      </c>
      <c r="P485" s="11">
        <v>35.49</v>
      </c>
      <c r="Q485" s="11">
        <v>36.49</v>
      </c>
      <c r="R485" s="11">
        <v>38.5</v>
      </c>
      <c r="S485" s="11">
        <v>24.99</v>
      </c>
      <c r="T485" s="11">
        <v>26.15</v>
      </c>
      <c r="U485" s="11">
        <v>22.26</v>
      </c>
      <c r="W485" s="33" t="s">
        <v>72</v>
      </c>
      <c r="X485" s="33">
        <v>96</v>
      </c>
    </row>
    <row r="486" spans="1:24" x14ac:dyDescent="0.2">
      <c r="A486" s="6" t="s">
        <v>35</v>
      </c>
      <c r="B486" s="6">
        <v>56.07</v>
      </c>
      <c r="C486" s="6">
        <v>36.06</v>
      </c>
      <c r="D486" s="6">
        <v>17.670000000000002</v>
      </c>
      <c r="E486" s="6">
        <v>118.64</v>
      </c>
      <c r="F486" s="6">
        <v>4.57</v>
      </c>
      <c r="G486" s="13">
        <v>-4.32</v>
      </c>
      <c r="H486" s="13">
        <v>-6.31</v>
      </c>
      <c r="I486" s="6">
        <v>17.059999999999999</v>
      </c>
      <c r="J486" s="6">
        <v>54.96</v>
      </c>
      <c r="K486" s="6">
        <v>10.82</v>
      </c>
      <c r="L486" s="6">
        <v>11.68</v>
      </c>
      <c r="M486" s="6">
        <v>0.75</v>
      </c>
      <c r="N486" s="6">
        <v>220</v>
      </c>
      <c r="O486" s="6">
        <v>46.91</v>
      </c>
      <c r="P486" s="6">
        <v>35.700000000000003</v>
      </c>
      <c r="Q486" s="6">
        <v>63.95</v>
      </c>
      <c r="R486" s="6">
        <v>84.1</v>
      </c>
      <c r="S486" s="6">
        <v>6.94</v>
      </c>
      <c r="T486" s="6">
        <v>44.89</v>
      </c>
      <c r="U486" s="6">
        <v>36.03</v>
      </c>
      <c r="W486" s="35" t="s">
        <v>43</v>
      </c>
      <c r="X486" s="39" t="s">
        <v>59</v>
      </c>
    </row>
    <row r="487" spans="1:24" x14ac:dyDescent="0.2">
      <c r="A487" s="2" t="s">
        <v>48</v>
      </c>
      <c r="B487" s="2">
        <v>23.52</v>
      </c>
      <c r="C487" s="2">
        <v>20.5</v>
      </c>
      <c r="D487" s="2">
        <v>19.39</v>
      </c>
      <c r="E487" s="2">
        <v>20.85</v>
      </c>
      <c r="F487" s="2">
        <v>10.83</v>
      </c>
      <c r="G487" s="2">
        <v>12.9</v>
      </c>
      <c r="H487" s="2">
        <v>17.579999999999998</v>
      </c>
      <c r="I487" s="2">
        <v>21.56</v>
      </c>
      <c r="J487" s="2">
        <v>26.88</v>
      </c>
      <c r="K487" s="2">
        <v>20.32</v>
      </c>
      <c r="L487" s="2">
        <v>22.55</v>
      </c>
      <c r="M487" s="2">
        <v>21.09</v>
      </c>
      <c r="N487" s="2">
        <v>72</v>
      </c>
      <c r="O487" s="2">
        <v>22.69</v>
      </c>
      <c r="P487" s="2">
        <v>21.84</v>
      </c>
      <c r="Q487" s="2">
        <v>23.44</v>
      </c>
      <c r="R487" s="2">
        <v>26.41</v>
      </c>
      <c r="S487" s="2">
        <v>19.670000000000002</v>
      </c>
      <c r="T487" s="2">
        <v>22.33</v>
      </c>
      <c r="U487" s="2">
        <v>20.77</v>
      </c>
      <c r="W487" s="46" t="s">
        <v>74</v>
      </c>
      <c r="X487" s="46">
        <v>129.80000000000001</v>
      </c>
    </row>
    <row r="488" spans="1:24" x14ac:dyDescent="0.2">
      <c r="A488" s="7" t="s">
        <v>73</v>
      </c>
      <c r="B488" s="7">
        <v>38.47</v>
      </c>
      <c r="C488" s="7">
        <v>24.14</v>
      </c>
      <c r="D488" s="7">
        <v>16.37</v>
      </c>
      <c r="E488" s="7">
        <v>16.25</v>
      </c>
      <c r="F488" s="7">
        <v>3.64</v>
      </c>
      <c r="G488" s="7">
        <v>5.29</v>
      </c>
      <c r="H488" s="7">
        <v>5.21</v>
      </c>
      <c r="I488" s="7">
        <v>4.8</v>
      </c>
      <c r="J488" s="7">
        <v>9.1199999999999992</v>
      </c>
      <c r="K488" s="7">
        <v>5.74</v>
      </c>
      <c r="L488" s="7">
        <v>11.15</v>
      </c>
      <c r="M488" s="7">
        <v>10</v>
      </c>
      <c r="N488" s="7">
        <v>30.93</v>
      </c>
      <c r="O488" s="7">
        <v>9.9600000000000009</v>
      </c>
      <c r="P488" s="7">
        <v>9.76</v>
      </c>
      <c r="Q488" s="7">
        <v>9.01</v>
      </c>
      <c r="R488" s="7">
        <v>9.75</v>
      </c>
      <c r="S488" s="7">
        <v>6.18</v>
      </c>
      <c r="T488" s="7">
        <v>6.64</v>
      </c>
      <c r="U488" s="7">
        <v>6.08</v>
      </c>
      <c r="W488" s="35" t="s">
        <v>57</v>
      </c>
      <c r="X488" s="35">
        <v>131</v>
      </c>
    </row>
    <row r="489" spans="1:24" x14ac:dyDescent="0.2">
      <c r="A489" s="2" t="s">
        <v>75</v>
      </c>
      <c r="B489" s="2">
        <v>38.99</v>
      </c>
      <c r="C489" s="2">
        <v>23.98</v>
      </c>
      <c r="D489" s="2">
        <v>19.29</v>
      </c>
      <c r="E489" s="2">
        <v>13.03</v>
      </c>
      <c r="F489" s="2">
        <v>3.45</v>
      </c>
      <c r="G489" s="2">
        <v>5.46</v>
      </c>
      <c r="H489" s="2">
        <v>6.02</v>
      </c>
      <c r="I489" s="2">
        <v>7</v>
      </c>
      <c r="J489" s="2">
        <v>9.6999999999999993</v>
      </c>
      <c r="K489" s="2">
        <v>6.55</v>
      </c>
      <c r="L489" s="15" t="s">
        <v>59</v>
      </c>
      <c r="M489" s="15" t="s">
        <v>59</v>
      </c>
      <c r="N489" s="15" t="s">
        <v>59</v>
      </c>
      <c r="O489" s="15" t="s">
        <v>59</v>
      </c>
      <c r="P489" s="15" t="s">
        <v>59</v>
      </c>
      <c r="Q489" s="15" t="s">
        <v>59</v>
      </c>
      <c r="R489" s="15" t="s">
        <v>59</v>
      </c>
      <c r="S489" s="15" t="s">
        <v>59</v>
      </c>
      <c r="T489" s="15" t="s">
        <v>59</v>
      </c>
      <c r="U489" s="15" t="s">
        <v>59</v>
      </c>
      <c r="W489" s="33" t="s">
        <v>60</v>
      </c>
      <c r="X489" s="33">
        <v>132</v>
      </c>
    </row>
    <row r="490" spans="1:24" x14ac:dyDescent="0.2">
      <c r="A490" s="6" t="s">
        <v>77</v>
      </c>
      <c r="B490" s="6">
        <v>1.3</v>
      </c>
      <c r="C490" s="6">
        <v>0.61</v>
      </c>
      <c r="D490" s="6">
        <v>0.33</v>
      </c>
      <c r="E490" s="6">
        <v>0.26</v>
      </c>
      <c r="F490" s="6">
        <v>0.19</v>
      </c>
      <c r="G490" s="6">
        <v>0.26</v>
      </c>
      <c r="H490" s="6">
        <v>0.24</v>
      </c>
      <c r="I490" s="6">
        <v>0.35</v>
      </c>
      <c r="J490" s="6">
        <v>0.13</v>
      </c>
      <c r="K490" s="6">
        <v>0.24</v>
      </c>
      <c r="L490" s="16" t="s">
        <v>59</v>
      </c>
      <c r="M490" s="16" t="s">
        <v>59</v>
      </c>
      <c r="N490" s="16" t="s">
        <v>59</v>
      </c>
      <c r="O490" s="16" t="s">
        <v>59</v>
      </c>
      <c r="P490" s="16" t="s">
        <v>59</v>
      </c>
      <c r="Q490" s="16" t="s">
        <v>59</v>
      </c>
      <c r="R490" s="16" t="s">
        <v>59</v>
      </c>
      <c r="S490" s="16" t="s">
        <v>59</v>
      </c>
      <c r="T490" s="16" t="s">
        <v>59</v>
      </c>
      <c r="U490" s="16" t="s">
        <v>59</v>
      </c>
      <c r="W490" s="35" t="s">
        <v>76</v>
      </c>
      <c r="X490" s="35">
        <v>262.89999999999998</v>
      </c>
    </row>
    <row r="491" spans="1:24" x14ac:dyDescent="0.2">
      <c r="A491" s="2" t="s">
        <v>79</v>
      </c>
      <c r="B491" s="9">
        <v>-1.81</v>
      </c>
      <c r="C491" s="9">
        <v>-0.46</v>
      </c>
      <c r="D491" s="9">
        <v>-3.25</v>
      </c>
      <c r="E491" s="2">
        <v>2.95</v>
      </c>
      <c r="F491" s="9">
        <v>0</v>
      </c>
      <c r="G491" s="9">
        <v>-0.43</v>
      </c>
      <c r="H491" s="9">
        <v>-1.05</v>
      </c>
      <c r="I491" s="9">
        <v>-2.5499999999999998</v>
      </c>
      <c r="J491" s="9">
        <v>-0.71</v>
      </c>
      <c r="K491" s="9">
        <v>-1.05</v>
      </c>
      <c r="L491" s="15" t="s">
        <v>59</v>
      </c>
      <c r="M491" s="15" t="s">
        <v>59</v>
      </c>
      <c r="N491" s="15" t="s">
        <v>59</v>
      </c>
      <c r="O491" s="15" t="s">
        <v>59</v>
      </c>
      <c r="P491" s="15" t="s">
        <v>59</v>
      </c>
      <c r="Q491" s="15" t="s">
        <v>59</v>
      </c>
      <c r="R491" s="15" t="s">
        <v>59</v>
      </c>
      <c r="S491" s="15" t="s">
        <v>59</v>
      </c>
      <c r="T491" s="15" t="s">
        <v>59</v>
      </c>
      <c r="U491" s="15" t="s">
        <v>59</v>
      </c>
      <c r="W491" s="33" t="s">
        <v>78</v>
      </c>
      <c r="X491" s="33">
        <v>114.9</v>
      </c>
    </row>
    <row r="492" spans="1:24" x14ac:dyDescent="0.2">
      <c r="A492" s="7" t="s">
        <v>83</v>
      </c>
      <c r="B492" s="7">
        <v>108.72</v>
      </c>
      <c r="C492" s="7">
        <v>70.180000000000007</v>
      </c>
      <c r="D492" s="7">
        <v>52.95</v>
      </c>
      <c r="E492" s="7">
        <v>42.66</v>
      </c>
      <c r="F492" s="7">
        <v>23.31</v>
      </c>
      <c r="G492" s="7">
        <v>20.48</v>
      </c>
      <c r="H492" s="7">
        <v>21.72</v>
      </c>
      <c r="I492" s="7">
        <v>23.94</v>
      </c>
      <c r="J492" s="7">
        <v>15.43</v>
      </c>
      <c r="K492" s="7">
        <v>10.11</v>
      </c>
      <c r="L492" s="7">
        <v>28.48</v>
      </c>
      <c r="M492" s="7">
        <v>26.76</v>
      </c>
      <c r="N492" s="7">
        <v>92.27</v>
      </c>
      <c r="O492" s="7">
        <v>26.75</v>
      </c>
      <c r="P492" s="7">
        <v>25.73</v>
      </c>
      <c r="Q492" s="7">
        <v>27.49</v>
      </c>
      <c r="R492" s="7">
        <v>28.75</v>
      </c>
      <c r="S492" s="7">
        <v>18.809999999999999</v>
      </c>
      <c r="T492" s="7">
        <v>19.510000000000002</v>
      </c>
      <c r="U492" s="7">
        <v>16.18</v>
      </c>
      <c r="W492" s="35" t="s">
        <v>80</v>
      </c>
      <c r="X492" s="35">
        <v>29.8</v>
      </c>
    </row>
    <row r="493" spans="1:24" x14ac:dyDescent="0.2">
      <c r="A493" s="2" t="s">
        <v>35</v>
      </c>
      <c r="B493" s="2">
        <v>54.92</v>
      </c>
      <c r="C493" s="2">
        <v>32.54</v>
      </c>
      <c r="D493" s="2">
        <v>24.12</v>
      </c>
      <c r="E493" s="2">
        <v>83.03</v>
      </c>
      <c r="F493" s="2">
        <v>13.82</v>
      </c>
      <c r="G493" s="9">
        <v>-5.72</v>
      </c>
      <c r="H493" s="9">
        <v>-9.2799999999999994</v>
      </c>
      <c r="I493" s="2">
        <v>55.11</v>
      </c>
      <c r="J493" s="2">
        <v>52.72</v>
      </c>
      <c r="K493" s="2">
        <v>12.46</v>
      </c>
      <c r="L493" s="2">
        <v>10.67</v>
      </c>
      <c r="M493" s="9">
        <v>-2.63</v>
      </c>
      <c r="N493" s="2">
        <v>220.96</v>
      </c>
      <c r="O493" s="2">
        <v>42.2</v>
      </c>
      <c r="P493" s="2">
        <v>31.88</v>
      </c>
      <c r="Q493" s="2">
        <v>69.86</v>
      </c>
      <c r="R493" s="2">
        <v>83.46</v>
      </c>
      <c r="S493" s="2">
        <v>6.92</v>
      </c>
      <c r="T493" s="2">
        <v>45.95</v>
      </c>
      <c r="U493" s="2">
        <v>21.6</v>
      </c>
      <c r="W493" s="46" t="s">
        <v>82</v>
      </c>
      <c r="X493" s="46">
        <v>239.7</v>
      </c>
    </row>
    <row r="494" spans="1:24" x14ac:dyDescent="0.2">
      <c r="A494" s="6" t="s">
        <v>48</v>
      </c>
      <c r="B494" s="6">
        <v>17.37</v>
      </c>
      <c r="C494" s="6">
        <v>15.25</v>
      </c>
      <c r="D494" s="6">
        <v>14.81</v>
      </c>
      <c r="E494" s="6">
        <v>15.1</v>
      </c>
      <c r="F494" s="6">
        <v>9.3699999999999992</v>
      </c>
      <c r="G494" s="6">
        <v>10.25</v>
      </c>
      <c r="H494" s="6">
        <v>14.18</v>
      </c>
      <c r="I494" s="6">
        <v>17.96</v>
      </c>
      <c r="J494" s="6">
        <v>16.89</v>
      </c>
      <c r="K494" s="6">
        <v>12.96</v>
      </c>
      <c r="L494" s="6">
        <v>16.2</v>
      </c>
      <c r="M494" s="6">
        <v>15.35</v>
      </c>
      <c r="N494" s="6">
        <v>53.93</v>
      </c>
      <c r="O494" s="6">
        <v>16.53</v>
      </c>
      <c r="P494" s="6">
        <v>15.84</v>
      </c>
      <c r="Q494" s="6">
        <v>17.649999999999999</v>
      </c>
      <c r="R494" s="6">
        <v>19.72</v>
      </c>
      <c r="S494" s="6">
        <v>14.81</v>
      </c>
      <c r="T494" s="6">
        <v>16.66</v>
      </c>
      <c r="U494" s="6">
        <v>15.1</v>
      </c>
      <c r="W494" s="35" t="s">
        <v>84</v>
      </c>
      <c r="X494" s="35">
        <v>238.5</v>
      </c>
    </row>
    <row r="495" spans="1:24" x14ac:dyDescent="0.2">
      <c r="A495" s="11" t="s">
        <v>87</v>
      </c>
      <c r="B495" s="11">
        <v>108.72</v>
      </c>
      <c r="C495" s="11">
        <v>70.180000000000007</v>
      </c>
      <c r="D495" s="11">
        <v>52.95</v>
      </c>
      <c r="E495" s="11">
        <v>42.66</v>
      </c>
      <c r="F495" s="11">
        <v>23.31</v>
      </c>
      <c r="G495" s="11">
        <v>20.48</v>
      </c>
      <c r="H495" s="11">
        <v>21.72</v>
      </c>
      <c r="I495" s="11">
        <v>23.94</v>
      </c>
      <c r="J495" s="11">
        <v>15.43</v>
      </c>
      <c r="K495" s="11">
        <v>10.11</v>
      </c>
      <c r="L495" s="11">
        <v>28.48</v>
      </c>
      <c r="M495" s="11">
        <v>26.76</v>
      </c>
      <c r="N495" s="11">
        <v>92.27</v>
      </c>
      <c r="O495" s="11">
        <v>26.75</v>
      </c>
      <c r="P495" s="11">
        <v>25.73</v>
      </c>
      <c r="Q495" s="11">
        <v>27.49</v>
      </c>
      <c r="R495" s="11">
        <v>28.75</v>
      </c>
      <c r="S495" s="11">
        <v>18.809999999999999</v>
      </c>
      <c r="T495" s="11">
        <v>19.510000000000002</v>
      </c>
      <c r="U495" s="11">
        <v>16.18</v>
      </c>
      <c r="W495" s="33" t="s">
        <v>85</v>
      </c>
      <c r="X495" s="33">
        <v>210</v>
      </c>
    </row>
    <row r="496" spans="1:24" x14ac:dyDescent="0.2">
      <c r="A496" s="6" t="s">
        <v>35</v>
      </c>
      <c r="B496" s="6">
        <v>54.92</v>
      </c>
      <c r="C496" s="6">
        <v>32.54</v>
      </c>
      <c r="D496" s="6">
        <v>24.12</v>
      </c>
      <c r="E496" s="6">
        <v>83.03</v>
      </c>
      <c r="F496" s="6">
        <v>13.82</v>
      </c>
      <c r="G496" s="13">
        <v>-5.72</v>
      </c>
      <c r="H496" s="13">
        <v>-9.2799999999999994</v>
      </c>
      <c r="I496" s="6">
        <v>55.11</v>
      </c>
      <c r="J496" s="6">
        <v>52.72</v>
      </c>
      <c r="K496" s="6">
        <v>12.46</v>
      </c>
      <c r="L496" s="6">
        <v>10.67</v>
      </c>
      <c r="M496" s="13">
        <v>-2.63</v>
      </c>
      <c r="N496" s="6">
        <v>220.96</v>
      </c>
      <c r="O496" s="6">
        <v>42.2</v>
      </c>
      <c r="P496" s="6">
        <v>31.88</v>
      </c>
      <c r="Q496" s="6">
        <v>69.86</v>
      </c>
      <c r="R496" s="6">
        <v>83.46</v>
      </c>
      <c r="S496" s="6">
        <v>6.92</v>
      </c>
      <c r="T496" s="6">
        <v>45.95</v>
      </c>
      <c r="U496" s="6">
        <v>21.6</v>
      </c>
      <c r="W496" s="42" t="s">
        <v>86</v>
      </c>
      <c r="X496" s="42">
        <v>25.9</v>
      </c>
    </row>
    <row r="497" spans="1:24" x14ac:dyDescent="0.2">
      <c r="A497" s="2" t="s">
        <v>48</v>
      </c>
      <c r="B497" s="2">
        <v>17.37</v>
      </c>
      <c r="C497" s="2">
        <v>15.25</v>
      </c>
      <c r="D497" s="2">
        <v>14.81</v>
      </c>
      <c r="E497" s="2">
        <v>15.1</v>
      </c>
      <c r="F497" s="2">
        <v>9.3699999999999992</v>
      </c>
      <c r="G497" s="2">
        <v>10.25</v>
      </c>
      <c r="H497" s="2">
        <v>14.18</v>
      </c>
      <c r="I497" s="2">
        <v>17.96</v>
      </c>
      <c r="J497" s="2">
        <v>16.89</v>
      </c>
      <c r="K497" s="2">
        <v>12.96</v>
      </c>
      <c r="L497" s="2">
        <v>16.2</v>
      </c>
      <c r="M497" s="2">
        <v>15.35</v>
      </c>
      <c r="N497" s="2">
        <v>53.93</v>
      </c>
      <c r="O497" s="2">
        <v>16.53</v>
      </c>
      <c r="P497" s="2">
        <v>15.84</v>
      </c>
      <c r="Q497" s="2">
        <v>17.649999999999999</v>
      </c>
      <c r="R497" s="2">
        <v>19.72</v>
      </c>
      <c r="S497" s="2">
        <v>14.81</v>
      </c>
      <c r="T497" s="2">
        <v>16.66</v>
      </c>
      <c r="U497" s="2">
        <v>15.1</v>
      </c>
      <c r="W497" s="33" t="s">
        <v>57</v>
      </c>
      <c r="X497" s="33">
        <v>26</v>
      </c>
    </row>
    <row r="498" spans="1:24" x14ac:dyDescent="0.2">
      <c r="A498" s="6" t="s">
        <v>91</v>
      </c>
      <c r="B498" s="6">
        <v>108.72</v>
      </c>
      <c r="C498" s="6">
        <v>70.180000000000007</v>
      </c>
      <c r="D498" s="6">
        <v>52.95</v>
      </c>
      <c r="E498" s="6">
        <v>42.66</v>
      </c>
      <c r="F498" s="6">
        <v>23.31</v>
      </c>
      <c r="G498" s="6">
        <v>20.48</v>
      </c>
      <c r="H498" s="6">
        <v>21.72</v>
      </c>
      <c r="I498" s="6">
        <v>23.94</v>
      </c>
      <c r="J498" s="6">
        <v>15.43</v>
      </c>
      <c r="K498" s="6">
        <v>10.11</v>
      </c>
      <c r="L498" s="6">
        <v>28.48</v>
      </c>
      <c r="M498" s="6">
        <v>26.76</v>
      </c>
      <c r="N498" s="6">
        <v>92.27</v>
      </c>
      <c r="O498" s="6">
        <v>26.75</v>
      </c>
      <c r="P498" s="6">
        <v>25.73</v>
      </c>
      <c r="Q498" s="6">
        <v>27.49</v>
      </c>
      <c r="R498" s="6">
        <v>28.75</v>
      </c>
      <c r="S498" s="6">
        <v>18.809999999999999</v>
      </c>
      <c r="T498" s="6">
        <v>19.510000000000002</v>
      </c>
      <c r="U498" s="6">
        <v>16.18</v>
      </c>
      <c r="W498" s="42" t="s">
        <v>88</v>
      </c>
      <c r="X498" s="42">
        <v>182.4</v>
      </c>
    </row>
    <row r="499" spans="1:24" x14ac:dyDescent="0.2">
      <c r="A499" s="11" t="s">
        <v>93</v>
      </c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W499" s="33" t="s">
        <v>89</v>
      </c>
      <c r="X499" s="33">
        <v>191.9</v>
      </c>
    </row>
    <row r="500" spans="1:24" x14ac:dyDescent="0.2">
      <c r="A500" s="6" t="s">
        <v>94</v>
      </c>
      <c r="B500" s="6">
        <v>3.75</v>
      </c>
      <c r="C500" s="6">
        <v>2.35</v>
      </c>
      <c r="D500" s="6">
        <v>1.79</v>
      </c>
      <c r="E500" s="6">
        <v>1.42</v>
      </c>
      <c r="F500" s="6">
        <v>1.17</v>
      </c>
      <c r="G500" s="6">
        <v>0.69</v>
      </c>
      <c r="H500" s="6">
        <v>0.73</v>
      </c>
      <c r="I500" s="6">
        <v>0.81</v>
      </c>
      <c r="J500" s="6">
        <v>0.53</v>
      </c>
      <c r="K500" s="6">
        <v>0.45</v>
      </c>
      <c r="L500" s="6">
        <v>1.07</v>
      </c>
      <c r="M500" s="6">
        <v>0.99</v>
      </c>
      <c r="N500" s="6">
        <v>3.28</v>
      </c>
      <c r="O500" s="6">
        <v>0.95</v>
      </c>
      <c r="P500" s="6">
        <v>0.88</v>
      </c>
      <c r="Q500" s="6">
        <v>0.93</v>
      </c>
      <c r="R500" s="6">
        <v>0.98</v>
      </c>
      <c r="S500" s="6">
        <v>0.64</v>
      </c>
      <c r="T500" s="6">
        <v>0.65</v>
      </c>
      <c r="U500" s="6">
        <v>0.54</v>
      </c>
      <c r="W500" s="35" t="s">
        <v>90</v>
      </c>
      <c r="X500" s="35">
        <v>177.1</v>
      </c>
    </row>
    <row r="501" spans="1:24" x14ac:dyDescent="0.2">
      <c r="A501" s="11" t="s">
        <v>96</v>
      </c>
      <c r="B501" s="11">
        <v>3.72</v>
      </c>
      <c r="C501" s="11">
        <v>2.36</v>
      </c>
      <c r="D501" s="11">
        <v>1.77</v>
      </c>
      <c r="E501" s="11">
        <v>1.43</v>
      </c>
      <c r="F501" s="11">
        <v>0.79</v>
      </c>
      <c r="G501" s="11">
        <v>0.7</v>
      </c>
      <c r="H501" s="11">
        <v>0.74</v>
      </c>
      <c r="I501" s="11">
        <v>0.82</v>
      </c>
      <c r="J501" s="11">
        <v>0.54</v>
      </c>
      <c r="K501" s="11">
        <v>0.37</v>
      </c>
      <c r="L501" s="11">
        <v>1.02</v>
      </c>
      <c r="M501" s="11">
        <v>0.96</v>
      </c>
      <c r="N501" s="11">
        <v>3.25</v>
      </c>
      <c r="O501" s="11">
        <v>0.92</v>
      </c>
      <c r="P501" s="11">
        <v>0.88</v>
      </c>
      <c r="Q501" s="11">
        <v>0.94</v>
      </c>
      <c r="R501" s="11">
        <v>0.98</v>
      </c>
      <c r="S501" s="11">
        <v>0.64</v>
      </c>
      <c r="T501" s="11">
        <v>0.66</v>
      </c>
      <c r="U501" s="11">
        <v>0.54</v>
      </c>
      <c r="W501" s="46" t="s">
        <v>92</v>
      </c>
      <c r="X501" s="46">
        <v>38.200000000000003</v>
      </c>
    </row>
    <row r="502" spans="1:24" x14ac:dyDescent="0.2">
      <c r="A502" s="6" t="s">
        <v>98</v>
      </c>
      <c r="B502" s="6">
        <v>29.26</v>
      </c>
      <c r="C502" s="6">
        <v>29.77</v>
      </c>
      <c r="D502" s="6">
        <v>29.89</v>
      </c>
      <c r="E502" s="6">
        <v>29.77</v>
      </c>
      <c r="F502" s="6">
        <v>29.6</v>
      </c>
      <c r="G502" s="6">
        <v>29.42</v>
      </c>
      <c r="H502" s="6">
        <v>29.23</v>
      </c>
      <c r="I502" s="6">
        <v>29.03</v>
      </c>
      <c r="J502" s="6">
        <v>28.64</v>
      </c>
      <c r="K502" s="6">
        <v>27.5</v>
      </c>
      <c r="L502" s="6">
        <v>27.9</v>
      </c>
      <c r="M502" s="6">
        <v>27.91</v>
      </c>
      <c r="N502" s="6">
        <v>28.39</v>
      </c>
      <c r="O502" s="6">
        <v>29.09</v>
      </c>
      <c r="P502" s="6">
        <v>29.27</v>
      </c>
      <c r="Q502" s="6">
        <v>29.34</v>
      </c>
      <c r="R502" s="6">
        <v>29.35</v>
      </c>
      <c r="S502" s="6">
        <v>29.41</v>
      </c>
      <c r="T502" s="6">
        <v>29.75</v>
      </c>
      <c r="U502" s="6">
        <v>29.97</v>
      </c>
      <c r="W502" s="35" t="s">
        <v>57</v>
      </c>
      <c r="X502" s="35">
        <v>40</v>
      </c>
    </row>
    <row r="503" spans="1:24" x14ac:dyDescent="0.2">
      <c r="A503" s="2" t="s">
        <v>100</v>
      </c>
      <c r="B503" s="2">
        <v>28.66</v>
      </c>
      <c r="C503" s="2">
        <v>29.34</v>
      </c>
      <c r="D503" s="2">
        <v>29.93</v>
      </c>
      <c r="E503" s="2">
        <v>29.84</v>
      </c>
      <c r="F503" s="2">
        <v>29.69</v>
      </c>
      <c r="G503" s="2">
        <v>29.46</v>
      </c>
      <c r="H503" s="2">
        <v>29.3</v>
      </c>
      <c r="I503" s="2">
        <v>29.09</v>
      </c>
      <c r="J503" s="2">
        <v>28.75</v>
      </c>
      <c r="K503" s="2">
        <v>28.58</v>
      </c>
      <c r="L503" s="2">
        <v>27.79</v>
      </c>
      <c r="M503" s="2">
        <v>27.92</v>
      </c>
      <c r="N503" s="2">
        <v>27.9</v>
      </c>
      <c r="O503" s="2">
        <v>28.66</v>
      </c>
      <c r="P503" s="2">
        <v>29.21</v>
      </c>
      <c r="Q503" s="2">
        <v>29.3</v>
      </c>
      <c r="R503" s="2">
        <v>29.37</v>
      </c>
      <c r="S503" s="2">
        <v>29.34</v>
      </c>
      <c r="T503" s="2">
        <v>29.41</v>
      </c>
      <c r="U503" s="2">
        <v>29.98</v>
      </c>
      <c r="W503" s="46" t="s">
        <v>71</v>
      </c>
      <c r="X503" s="46">
        <v>193.6</v>
      </c>
    </row>
    <row r="504" spans="1:24" x14ac:dyDescent="0.2">
      <c r="A504" s="7" t="s">
        <v>101</v>
      </c>
      <c r="B504" s="7">
        <v>3.7</v>
      </c>
      <c r="C504" s="7">
        <v>2.35</v>
      </c>
      <c r="D504" s="7">
        <v>1.77</v>
      </c>
      <c r="E504" s="7">
        <v>1.42</v>
      </c>
      <c r="F504" s="7">
        <v>0.78</v>
      </c>
      <c r="G504" s="7">
        <v>0.69</v>
      </c>
      <c r="H504" s="7">
        <v>0.73</v>
      </c>
      <c r="I504" s="7">
        <v>0.81</v>
      </c>
      <c r="J504" s="7">
        <v>0.53</v>
      </c>
      <c r="K504" s="7">
        <v>0.36</v>
      </c>
      <c r="L504" s="7">
        <v>1.02</v>
      </c>
      <c r="M504" s="7">
        <v>0.96</v>
      </c>
      <c r="N504" s="7">
        <v>3.24</v>
      </c>
      <c r="O504" s="7">
        <v>0.92</v>
      </c>
      <c r="P504" s="7">
        <v>0.88</v>
      </c>
      <c r="Q504" s="7">
        <v>0.93</v>
      </c>
      <c r="R504" s="7">
        <v>0.98</v>
      </c>
      <c r="S504" s="7">
        <v>0.64</v>
      </c>
      <c r="T504" s="7">
        <v>0.65</v>
      </c>
      <c r="U504" s="7">
        <v>0.54</v>
      </c>
      <c r="W504" s="35" t="s">
        <v>95</v>
      </c>
      <c r="X504" s="35">
        <v>151.80000000000001</v>
      </c>
    </row>
    <row r="505" spans="1:24" x14ac:dyDescent="0.2">
      <c r="A505" s="2" t="s">
        <v>103</v>
      </c>
      <c r="B505" s="2">
        <v>29.38</v>
      </c>
      <c r="C505" s="2">
        <v>29.86</v>
      </c>
      <c r="D505" s="2">
        <v>29.96</v>
      </c>
      <c r="E505" s="2">
        <v>29.94</v>
      </c>
      <c r="F505" s="2">
        <v>29.8</v>
      </c>
      <c r="G505" s="2">
        <v>29.67</v>
      </c>
      <c r="H505" s="2">
        <v>29.59</v>
      </c>
      <c r="I505" s="2">
        <v>29.42</v>
      </c>
      <c r="J505" s="2">
        <v>28.98</v>
      </c>
      <c r="K505" s="2">
        <v>27.82</v>
      </c>
      <c r="L505" s="2">
        <v>27.99</v>
      </c>
      <c r="M505" s="2">
        <v>28</v>
      </c>
      <c r="N505" s="2">
        <v>28.51</v>
      </c>
      <c r="O505" s="2">
        <v>29.21</v>
      </c>
      <c r="P505" s="2">
        <v>29.38</v>
      </c>
      <c r="Q505" s="2">
        <v>29.46</v>
      </c>
      <c r="R505" s="2">
        <v>29.48</v>
      </c>
      <c r="S505" s="2">
        <v>29.51</v>
      </c>
      <c r="T505" s="2">
        <v>29.82</v>
      </c>
      <c r="U505" s="2">
        <v>30.05</v>
      </c>
      <c r="W505" s="33" t="s">
        <v>97</v>
      </c>
      <c r="X505" s="38" t="s">
        <v>59</v>
      </c>
    </row>
    <row r="506" spans="1:24" x14ac:dyDescent="0.2">
      <c r="A506" s="6" t="s">
        <v>100</v>
      </c>
      <c r="B506" s="6">
        <v>28.66</v>
      </c>
      <c r="C506" s="6">
        <v>29.34</v>
      </c>
      <c r="D506" s="6">
        <v>29.93</v>
      </c>
      <c r="E506" s="6">
        <v>29.84</v>
      </c>
      <c r="F506" s="6">
        <v>29.69</v>
      </c>
      <c r="G506" s="6">
        <v>29.46</v>
      </c>
      <c r="H506" s="6">
        <v>29.3</v>
      </c>
      <c r="I506" s="6">
        <v>29.09</v>
      </c>
      <c r="J506" s="6">
        <v>28.75</v>
      </c>
      <c r="K506" s="6">
        <v>28.58</v>
      </c>
      <c r="L506" s="6">
        <v>27.79</v>
      </c>
      <c r="M506" s="6">
        <v>27.92</v>
      </c>
      <c r="N506" s="6">
        <v>27.9</v>
      </c>
      <c r="O506" s="6">
        <v>28.66</v>
      </c>
      <c r="P506" s="6">
        <v>29.21</v>
      </c>
      <c r="Q506" s="6">
        <v>29.3</v>
      </c>
      <c r="R506" s="6">
        <v>29.37</v>
      </c>
      <c r="S506" s="6">
        <v>29.34</v>
      </c>
      <c r="T506" s="6">
        <v>29.41</v>
      </c>
      <c r="U506" s="6">
        <v>29.98</v>
      </c>
      <c r="W506" s="35" t="s">
        <v>99</v>
      </c>
      <c r="X506" s="35">
        <v>52.2</v>
      </c>
    </row>
    <row r="507" spans="1:24" x14ac:dyDescent="0.2">
      <c r="A507" s="2" t="s">
        <v>105</v>
      </c>
      <c r="B507" s="2">
        <v>75.91</v>
      </c>
      <c r="C507" s="2">
        <v>88.61</v>
      </c>
      <c r="D507" s="2">
        <v>86.6</v>
      </c>
      <c r="E507" s="2">
        <v>71.040000000000006</v>
      </c>
      <c r="F507" s="2">
        <v>73.739999999999995</v>
      </c>
      <c r="G507" s="2">
        <v>84.69</v>
      </c>
      <c r="H507" s="2">
        <v>87.9</v>
      </c>
      <c r="I507" s="2">
        <v>83.89</v>
      </c>
      <c r="J507" s="2">
        <v>89.91</v>
      </c>
      <c r="K507" s="2">
        <v>94.1</v>
      </c>
      <c r="L507" s="2">
        <v>70.739999999999995</v>
      </c>
      <c r="M507" s="2">
        <v>68.7</v>
      </c>
      <c r="N507" s="2">
        <v>66.27</v>
      </c>
      <c r="O507" s="2">
        <v>75.91</v>
      </c>
      <c r="P507" s="2">
        <v>73.87</v>
      </c>
      <c r="Q507" s="2">
        <v>77.44</v>
      </c>
      <c r="R507" s="2">
        <v>81.66</v>
      </c>
      <c r="S507" s="2">
        <v>88.61</v>
      </c>
      <c r="T507" s="2">
        <v>84.86</v>
      </c>
      <c r="U507" s="2">
        <v>81.599999999999994</v>
      </c>
      <c r="W507" s="46" t="s">
        <v>87</v>
      </c>
      <c r="X507" s="46">
        <v>171.5</v>
      </c>
    </row>
    <row r="508" spans="1:24" x14ac:dyDescent="0.2">
      <c r="A508" s="7" t="s">
        <v>156</v>
      </c>
      <c r="B508" s="7">
        <v>0.98</v>
      </c>
      <c r="C508" s="7">
        <v>0.82</v>
      </c>
      <c r="D508" s="7">
        <v>0.72</v>
      </c>
      <c r="E508" s="7">
        <v>0.62</v>
      </c>
      <c r="F508" s="7">
        <v>0.5</v>
      </c>
      <c r="G508" s="7">
        <v>0.4</v>
      </c>
      <c r="H508" s="7">
        <v>0.32</v>
      </c>
      <c r="I508" s="7">
        <v>0.14000000000000001</v>
      </c>
      <c r="J508" s="7">
        <v>0</v>
      </c>
      <c r="K508" s="7">
        <v>0</v>
      </c>
      <c r="L508" s="7">
        <v>0.3</v>
      </c>
      <c r="M508" s="7">
        <v>0.27</v>
      </c>
      <c r="N508" s="7">
        <v>0.27</v>
      </c>
      <c r="O508" s="7">
        <v>0.27</v>
      </c>
      <c r="P508" s="7">
        <v>0.27</v>
      </c>
      <c r="Q508" s="7">
        <v>0.22</v>
      </c>
      <c r="R508" s="7">
        <v>0.22</v>
      </c>
      <c r="S508" s="7">
        <v>0.22</v>
      </c>
      <c r="T508" s="7">
        <v>0.22</v>
      </c>
      <c r="U508" s="7">
        <v>0.19</v>
      </c>
      <c r="W508" s="35" t="s">
        <v>102</v>
      </c>
      <c r="X508" s="35">
        <v>110.3</v>
      </c>
    </row>
    <row r="509" spans="1:24" x14ac:dyDescent="0.2">
      <c r="A509" s="2" t="s">
        <v>323</v>
      </c>
      <c r="B509" s="2">
        <v>26.49</v>
      </c>
      <c r="C509" s="2">
        <v>34.89</v>
      </c>
      <c r="D509" s="2">
        <v>40.74</v>
      </c>
      <c r="E509" s="2">
        <v>43.52</v>
      </c>
      <c r="F509" s="2">
        <v>63.94</v>
      </c>
      <c r="G509" s="2">
        <v>57.96</v>
      </c>
      <c r="H509" s="2">
        <v>43.59</v>
      </c>
      <c r="I509" s="2">
        <v>17.21</v>
      </c>
      <c r="J509" s="2">
        <v>0</v>
      </c>
      <c r="K509" s="2">
        <v>0</v>
      </c>
      <c r="L509" s="2">
        <v>29.49</v>
      </c>
      <c r="M509" s="2">
        <v>28.25</v>
      </c>
      <c r="N509" s="2">
        <v>8.34</v>
      </c>
      <c r="O509" s="2">
        <v>29.48</v>
      </c>
      <c r="P509" s="2">
        <v>30.83</v>
      </c>
      <c r="Q509" s="2">
        <v>23.58</v>
      </c>
      <c r="R509" s="2">
        <v>22.56</v>
      </c>
      <c r="S509" s="2">
        <v>34.5</v>
      </c>
      <c r="T509" s="2">
        <v>33.619999999999997</v>
      </c>
      <c r="U509" s="2">
        <v>35.28</v>
      </c>
      <c r="W509" s="33" t="s">
        <v>104</v>
      </c>
      <c r="X509" s="33">
        <v>171.4</v>
      </c>
    </row>
    <row r="510" spans="1:24" x14ac:dyDescent="0.2">
      <c r="A510" s="7" t="s">
        <v>82</v>
      </c>
      <c r="B510" s="7" t="s">
        <v>1</v>
      </c>
      <c r="C510" s="7" t="s">
        <v>1</v>
      </c>
      <c r="D510" s="7" t="s">
        <v>1</v>
      </c>
      <c r="E510" s="7" t="s">
        <v>1</v>
      </c>
      <c r="F510" s="7" t="s">
        <v>1</v>
      </c>
      <c r="G510" s="7" t="s">
        <v>1</v>
      </c>
      <c r="H510" s="7" t="s">
        <v>1</v>
      </c>
      <c r="I510" s="7" t="s">
        <v>1</v>
      </c>
      <c r="J510" s="7" t="s">
        <v>1</v>
      </c>
      <c r="K510" s="7" t="s">
        <v>1</v>
      </c>
      <c r="L510" s="7" t="s">
        <v>1</v>
      </c>
      <c r="M510" s="7" t="s">
        <v>1</v>
      </c>
      <c r="N510" s="7" t="s">
        <v>1</v>
      </c>
      <c r="O510" s="7" t="s">
        <v>1</v>
      </c>
      <c r="P510" s="7" t="s">
        <v>1</v>
      </c>
      <c r="Q510" s="7" t="s">
        <v>1</v>
      </c>
      <c r="R510" s="7" t="s">
        <v>1</v>
      </c>
      <c r="S510" s="7" t="s">
        <v>1</v>
      </c>
      <c r="T510" s="7" t="s">
        <v>1</v>
      </c>
      <c r="U510" s="7" t="s">
        <v>1</v>
      </c>
      <c r="W510" s="33"/>
      <c r="X510" s="33"/>
    </row>
    <row r="511" spans="1:24" x14ac:dyDescent="0.2">
      <c r="A511" s="11" t="s">
        <v>82</v>
      </c>
      <c r="B511" s="11">
        <v>186.1</v>
      </c>
      <c r="C511" s="11">
        <v>125.93</v>
      </c>
      <c r="D511" s="11">
        <v>104.31</v>
      </c>
      <c r="E511" s="11">
        <v>78.2</v>
      </c>
      <c r="F511" s="11">
        <v>64.77</v>
      </c>
      <c r="G511" s="11">
        <v>48.39</v>
      </c>
      <c r="H511" s="11">
        <v>42.84</v>
      </c>
      <c r="I511" s="11">
        <v>37.25</v>
      </c>
      <c r="J511" s="11">
        <v>32.21</v>
      </c>
      <c r="K511" s="11">
        <v>25.7</v>
      </c>
      <c r="L511" s="11">
        <v>57.26</v>
      </c>
      <c r="M511" s="11">
        <v>52.99</v>
      </c>
      <c r="N511" s="11">
        <v>52.83</v>
      </c>
      <c r="O511" s="11">
        <v>47.97</v>
      </c>
      <c r="P511" s="11">
        <v>44.87</v>
      </c>
      <c r="Q511" s="11">
        <v>46.38</v>
      </c>
      <c r="R511" s="11">
        <v>46.15</v>
      </c>
      <c r="S511" s="11">
        <v>33.46</v>
      </c>
      <c r="T511" s="11">
        <v>34.049999999999997</v>
      </c>
      <c r="U511" s="11">
        <v>29.67</v>
      </c>
      <c r="W511" s="33" t="s">
        <v>106</v>
      </c>
      <c r="X511" s="33"/>
    </row>
    <row r="512" spans="1:24" x14ac:dyDescent="0.2">
      <c r="A512" s="6" t="s">
        <v>108</v>
      </c>
      <c r="B512" s="6">
        <v>166.61</v>
      </c>
      <c r="C512" s="6">
        <v>112.69</v>
      </c>
      <c r="D512" s="6">
        <v>93.41</v>
      </c>
      <c r="E512" s="6">
        <v>70.260000000000005</v>
      </c>
      <c r="F512" s="6">
        <v>57.25</v>
      </c>
      <c r="G512" s="6">
        <v>42.9</v>
      </c>
      <c r="H512" s="6">
        <v>38.53</v>
      </c>
      <c r="I512" s="6">
        <v>33.869999999999997</v>
      </c>
      <c r="J512" s="6">
        <v>29.2</v>
      </c>
      <c r="K512" s="6">
        <v>23.02</v>
      </c>
      <c r="L512" s="6">
        <v>51.02</v>
      </c>
      <c r="M512" s="6">
        <v>46.77</v>
      </c>
      <c r="N512" s="6">
        <v>46.6</v>
      </c>
      <c r="O512" s="6">
        <v>42.1</v>
      </c>
      <c r="P512" s="6">
        <v>39.82</v>
      </c>
      <c r="Q512" s="6">
        <v>41.22</v>
      </c>
      <c r="R512" s="6">
        <v>42.74</v>
      </c>
      <c r="S512" s="6">
        <v>29.81</v>
      </c>
      <c r="T512" s="6">
        <v>30.67</v>
      </c>
      <c r="U512" s="6">
        <v>26.46</v>
      </c>
      <c r="W512" s="34" t="s">
        <v>1</v>
      </c>
      <c r="X512" s="34" t="s">
        <v>7</v>
      </c>
    </row>
    <row r="513" spans="1:24" x14ac:dyDescent="0.2">
      <c r="A513" s="2" t="s">
        <v>40</v>
      </c>
      <c r="B513" s="2">
        <v>19.489999999999998</v>
      </c>
      <c r="C513" s="2">
        <v>13.24</v>
      </c>
      <c r="D513" s="2">
        <v>10.9</v>
      </c>
      <c r="E513" s="2">
        <v>7.94</v>
      </c>
      <c r="F513" s="2">
        <v>7.52</v>
      </c>
      <c r="G513" s="2">
        <v>5.48</v>
      </c>
      <c r="H513" s="2">
        <v>4.3099999999999996</v>
      </c>
      <c r="I513" s="2">
        <v>3.38</v>
      </c>
      <c r="J513" s="2">
        <v>3.01</v>
      </c>
      <c r="K513" s="2">
        <v>2.68</v>
      </c>
      <c r="L513" s="2">
        <v>6.23</v>
      </c>
      <c r="M513" s="2">
        <v>6.22</v>
      </c>
      <c r="N513" s="2">
        <v>6.23</v>
      </c>
      <c r="O513" s="2">
        <v>5.87</v>
      </c>
      <c r="P513" s="2">
        <v>5.05</v>
      </c>
      <c r="Q513" s="2">
        <v>5.16</v>
      </c>
      <c r="R513" s="2">
        <v>3.41</v>
      </c>
      <c r="S513" s="2">
        <v>3.65</v>
      </c>
      <c r="T513" s="2">
        <v>3.38</v>
      </c>
      <c r="U513" s="2">
        <v>3.22</v>
      </c>
      <c r="W513" s="42" t="s">
        <v>107</v>
      </c>
      <c r="X513" s="42">
        <v>356</v>
      </c>
    </row>
    <row r="514" spans="1:24" x14ac:dyDescent="0.2">
      <c r="A514" s="6" t="s">
        <v>111</v>
      </c>
      <c r="B514" s="6" t="s">
        <v>1</v>
      </c>
      <c r="C514" s="6" t="s">
        <v>1</v>
      </c>
      <c r="D514" s="6" t="s">
        <v>1</v>
      </c>
      <c r="E514" s="6" t="s">
        <v>1</v>
      </c>
      <c r="F514" s="6" t="s">
        <v>1</v>
      </c>
      <c r="G514" s="6" t="s">
        <v>1</v>
      </c>
      <c r="H514" s="6" t="s">
        <v>1</v>
      </c>
      <c r="I514" s="6" t="s">
        <v>1</v>
      </c>
      <c r="J514" s="6" t="s">
        <v>1</v>
      </c>
      <c r="K514" s="6" t="s">
        <v>1</v>
      </c>
      <c r="L514" s="6" t="s">
        <v>1</v>
      </c>
      <c r="M514" s="6" t="s">
        <v>1</v>
      </c>
      <c r="N514" s="6" t="s">
        <v>1</v>
      </c>
      <c r="O514" s="6" t="s">
        <v>1</v>
      </c>
      <c r="P514" s="6" t="s">
        <v>1</v>
      </c>
      <c r="Q514" s="6" t="s">
        <v>1</v>
      </c>
      <c r="R514" s="6" t="s">
        <v>1</v>
      </c>
      <c r="S514" s="6" t="s">
        <v>1</v>
      </c>
      <c r="T514" s="6" t="s">
        <v>1</v>
      </c>
      <c r="U514" s="6" t="s">
        <v>1</v>
      </c>
      <c r="W514" s="33" t="s">
        <v>109</v>
      </c>
      <c r="X514" s="33">
        <v>265.5</v>
      </c>
    </row>
    <row r="515" spans="1:24" x14ac:dyDescent="0.2">
      <c r="A515" s="2" t="s">
        <v>113</v>
      </c>
      <c r="B515" s="2">
        <v>7.8</v>
      </c>
      <c r="C515" s="2">
        <v>4.26</v>
      </c>
      <c r="D515" s="2">
        <v>3.69</v>
      </c>
      <c r="E515" s="2">
        <v>2.82</v>
      </c>
      <c r="F515" s="2">
        <v>3.05</v>
      </c>
      <c r="G515" s="2">
        <v>2.62</v>
      </c>
      <c r="H515" s="2">
        <v>2.2999999999999998</v>
      </c>
      <c r="I515" s="2">
        <v>2</v>
      </c>
      <c r="J515" s="2">
        <v>1.9</v>
      </c>
      <c r="K515" s="2">
        <v>2</v>
      </c>
      <c r="L515" s="15" t="s">
        <v>59</v>
      </c>
      <c r="M515" s="15" t="s">
        <v>59</v>
      </c>
      <c r="N515" s="15" t="s">
        <v>59</v>
      </c>
      <c r="O515" s="15" t="s">
        <v>59</v>
      </c>
      <c r="P515" s="15" t="s">
        <v>59</v>
      </c>
      <c r="Q515" s="15" t="s">
        <v>59</v>
      </c>
      <c r="R515" s="15" t="s">
        <v>59</v>
      </c>
      <c r="S515" s="15" t="s">
        <v>59</v>
      </c>
      <c r="T515" s="15" t="s">
        <v>59</v>
      </c>
      <c r="U515" s="15" t="s">
        <v>59</v>
      </c>
      <c r="W515" s="35" t="s">
        <v>110</v>
      </c>
      <c r="X515" s="39" t="s">
        <v>59</v>
      </c>
    </row>
    <row r="516" spans="1:24" x14ac:dyDescent="0.2">
      <c r="A516" s="6" t="s">
        <v>115</v>
      </c>
      <c r="B516" s="6">
        <v>17.43</v>
      </c>
      <c r="C516" s="6">
        <v>12.29</v>
      </c>
      <c r="D516" s="6">
        <v>3.32</v>
      </c>
      <c r="E516" s="6">
        <v>7.03</v>
      </c>
      <c r="F516" s="6">
        <v>6.28</v>
      </c>
      <c r="G516" s="6">
        <v>5.09</v>
      </c>
      <c r="H516" s="6">
        <v>2.94</v>
      </c>
      <c r="I516" s="6">
        <v>1.46</v>
      </c>
      <c r="J516" s="6">
        <v>0.74</v>
      </c>
      <c r="K516" s="6">
        <v>0.69</v>
      </c>
      <c r="L516" s="6">
        <v>6.07</v>
      </c>
      <c r="M516" s="6">
        <v>4.91</v>
      </c>
      <c r="N516" s="6">
        <v>4.2</v>
      </c>
      <c r="O516" s="6">
        <v>4.78</v>
      </c>
      <c r="P516" s="6">
        <v>5.75</v>
      </c>
      <c r="Q516" s="6">
        <v>3.89</v>
      </c>
      <c r="R516" s="6">
        <v>3.01</v>
      </c>
      <c r="S516" s="6">
        <v>4.38</v>
      </c>
      <c r="T516" s="6">
        <v>2.4700000000000002</v>
      </c>
      <c r="U516" s="16" t="s">
        <v>59</v>
      </c>
      <c r="W516" s="46" t="s">
        <v>114</v>
      </c>
      <c r="X516" s="46">
        <v>89</v>
      </c>
    </row>
    <row r="517" spans="1:24" x14ac:dyDescent="0.2">
      <c r="A517" s="2" t="s">
        <v>117</v>
      </c>
      <c r="B517" s="2">
        <v>26.14</v>
      </c>
      <c r="C517" s="2">
        <v>25.59</v>
      </c>
      <c r="D517" s="2">
        <v>23.62</v>
      </c>
      <c r="E517" s="2">
        <v>27.58</v>
      </c>
      <c r="F517" s="2">
        <v>13.5</v>
      </c>
      <c r="G517" s="2">
        <v>20.53</v>
      </c>
      <c r="H517" s="2">
        <v>19.34</v>
      </c>
      <c r="I517" s="2">
        <v>16.71</v>
      </c>
      <c r="J517" s="2">
        <v>37.14</v>
      </c>
      <c r="K517" s="2">
        <v>36.22</v>
      </c>
      <c r="L517" s="2">
        <v>28.14</v>
      </c>
      <c r="M517" s="2">
        <v>27.21</v>
      </c>
      <c r="N517" s="2">
        <v>25.1</v>
      </c>
      <c r="O517" s="2">
        <v>27.13</v>
      </c>
      <c r="P517" s="2">
        <v>27.49</v>
      </c>
      <c r="Q517" s="2">
        <v>24.68</v>
      </c>
      <c r="R517" s="2">
        <v>25.33</v>
      </c>
      <c r="S517" s="2">
        <v>24.71</v>
      </c>
      <c r="T517" s="2">
        <v>25.39</v>
      </c>
      <c r="U517" s="2">
        <v>27.3</v>
      </c>
      <c r="W517" s="35" t="s">
        <v>116</v>
      </c>
      <c r="X517" s="35">
        <v>8</v>
      </c>
    </row>
    <row r="518" spans="1:24" x14ac:dyDescent="0.2">
      <c r="A518" s="6" t="s">
        <v>1</v>
      </c>
      <c r="B518" s="6" t="s">
        <v>1</v>
      </c>
      <c r="C518" s="6" t="s">
        <v>1</v>
      </c>
      <c r="D518" s="6" t="s">
        <v>1</v>
      </c>
      <c r="E518" s="6" t="s">
        <v>1</v>
      </c>
      <c r="F518" s="6" t="s">
        <v>1</v>
      </c>
      <c r="G518" s="6" t="s">
        <v>1</v>
      </c>
      <c r="H518" s="6" t="s">
        <v>1</v>
      </c>
      <c r="I518" s="6" t="s">
        <v>1</v>
      </c>
      <c r="J518" s="6" t="s">
        <v>1</v>
      </c>
      <c r="K518" s="6" t="s">
        <v>1</v>
      </c>
      <c r="L518" s="6" t="s">
        <v>1</v>
      </c>
      <c r="M518" s="6" t="s">
        <v>1</v>
      </c>
      <c r="N518" s="6" t="s">
        <v>1</v>
      </c>
      <c r="O518" s="6" t="s">
        <v>1</v>
      </c>
      <c r="P518" s="6" t="s">
        <v>1</v>
      </c>
      <c r="Q518" s="6" t="s">
        <v>1</v>
      </c>
      <c r="R518" s="6" t="s">
        <v>1</v>
      </c>
      <c r="S518" s="6" t="s">
        <v>1</v>
      </c>
      <c r="T518" s="6" t="s">
        <v>1</v>
      </c>
      <c r="U518" s="6" t="s">
        <v>1</v>
      </c>
      <c r="W518" s="33" t="s">
        <v>118</v>
      </c>
      <c r="X518" s="33">
        <v>726.8</v>
      </c>
    </row>
    <row r="519" spans="1:24" x14ac:dyDescent="0.2">
      <c r="A519" s="2" t="s">
        <v>120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W519" s="35" t="s">
        <v>119</v>
      </c>
      <c r="X519" s="35">
        <v>0</v>
      </c>
    </row>
    <row r="520" spans="1:24" x14ac:dyDescent="0.2">
      <c r="A520" s="6" t="s">
        <v>120</v>
      </c>
      <c r="B520" s="6" t="s">
        <v>1</v>
      </c>
      <c r="C520" s="6" t="s">
        <v>1</v>
      </c>
      <c r="D520" s="6" t="s">
        <v>1</v>
      </c>
      <c r="E520" s="6" t="s">
        <v>1</v>
      </c>
      <c r="F520" s="6" t="s">
        <v>1</v>
      </c>
      <c r="G520" s="6" t="s">
        <v>1</v>
      </c>
      <c r="H520" s="6" t="s">
        <v>1</v>
      </c>
      <c r="I520" s="6" t="s">
        <v>1</v>
      </c>
      <c r="J520" s="6" t="s">
        <v>1</v>
      </c>
      <c r="K520" s="6" t="s">
        <v>1</v>
      </c>
      <c r="L520" s="6" t="s">
        <v>1</v>
      </c>
      <c r="M520" s="6" t="s">
        <v>1</v>
      </c>
      <c r="N520" s="6" t="s">
        <v>1</v>
      </c>
      <c r="O520" s="6" t="s">
        <v>1</v>
      </c>
      <c r="P520" s="6" t="s">
        <v>1</v>
      </c>
      <c r="Q520" s="6" t="s">
        <v>1</v>
      </c>
      <c r="R520" s="6" t="s">
        <v>1</v>
      </c>
      <c r="S520" s="6" t="s">
        <v>1</v>
      </c>
      <c r="T520" s="6" t="s">
        <v>1</v>
      </c>
      <c r="U520" s="6" t="s">
        <v>1</v>
      </c>
      <c r="W520" s="33" t="s">
        <v>121</v>
      </c>
      <c r="X520" s="49">
        <v>1207.2</v>
      </c>
    </row>
    <row r="521" spans="1:24" x14ac:dyDescent="0.2">
      <c r="A521" s="11" t="s">
        <v>123</v>
      </c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W521" s="35" t="s">
        <v>122</v>
      </c>
      <c r="X521" s="50">
        <v>1206</v>
      </c>
    </row>
    <row r="522" spans="1:24" x14ac:dyDescent="0.2">
      <c r="A522" s="7" t="s">
        <v>125</v>
      </c>
      <c r="B522" s="7">
        <v>369.44</v>
      </c>
      <c r="C522" s="7">
        <v>126.99</v>
      </c>
      <c r="D522" s="7">
        <v>205.72</v>
      </c>
      <c r="E522" s="7">
        <v>54.91</v>
      </c>
      <c r="F522" s="7">
        <v>59.27</v>
      </c>
      <c r="G522" s="7">
        <v>21.18</v>
      </c>
      <c r="H522" s="7">
        <v>16.96</v>
      </c>
      <c r="I522" s="7">
        <v>4.0599999999999996</v>
      </c>
      <c r="J522" s="7">
        <v>6.28</v>
      </c>
      <c r="K522" s="7">
        <v>14.46</v>
      </c>
      <c r="L522" s="7">
        <v>286.11</v>
      </c>
      <c r="M522" s="7">
        <v>274.97000000000003</v>
      </c>
      <c r="N522" s="7">
        <v>299.12</v>
      </c>
      <c r="O522" s="7">
        <v>369.44</v>
      </c>
      <c r="P522" s="7">
        <v>142.07</v>
      </c>
      <c r="Q522" s="7">
        <v>139.96</v>
      </c>
      <c r="R522" s="7">
        <v>153.46</v>
      </c>
      <c r="S522" s="7">
        <v>126.99</v>
      </c>
      <c r="T522" s="7">
        <v>114.99</v>
      </c>
      <c r="U522" s="7">
        <v>214.1</v>
      </c>
      <c r="W522" s="33" t="s">
        <v>169</v>
      </c>
      <c r="X522" s="33">
        <v>111.9</v>
      </c>
    </row>
    <row r="523" spans="1:24" x14ac:dyDescent="0.2">
      <c r="A523" s="2" t="s">
        <v>127</v>
      </c>
      <c r="B523" s="2">
        <v>369.44</v>
      </c>
      <c r="C523" s="2">
        <v>126.99</v>
      </c>
      <c r="D523" s="2">
        <v>205.72</v>
      </c>
      <c r="E523" s="2">
        <v>54.91</v>
      </c>
      <c r="F523" s="2">
        <v>59.27</v>
      </c>
      <c r="G523" s="2">
        <v>21.18</v>
      </c>
      <c r="H523" s="2">
        <v>16.96</v>
      </c>
      <c r="I523" s="2">
        <v>4.0599999999999996</v>
      </c>
      <c r="J523" s="2">
        <v>6.28</v>
      </c>
      <c r="K523" s="2">
        <v>14.46</v>
      </c>
      <c r="L523" s="2">
        <v>286.11</v>
      </c>
      <c r="M523" s="2">
        <v>274.97000000000003</v>
      </c>
      <c r="N523" s="2">
        <v>299.12</v>
      </c>
      <c r="O523" s="2">
        <v>369.44</v>
      </c>
      <c r="P523" s="2">
        <v>142.07</v>
      </c>
      <c r="Q523" s="2">
        <v>139.96</v>
      </c>
      <c r="R523" s="2">
        <v>153.46</v>
      </c>
      <c r="S523" s="2">
        <v>126.99</v>
      </c>
      <c r="T523" s="2">
        <v>114.99</v>
      </c>
      <c r="U523" s="2">
        <v>214.1</v>
      </c>
      <c r="W523" s="35" t="s">
        <v>124</v>
      </c>
      <c r="X523" s="35">
        <v>78.599999999999994</v>
      </c>
    </row>
    <row r="524" spans="1:24" x14ac:dyDescent="0.2">
      <c r="A524" s="7" t="s">
        <v>131</v>
      </c>
      <c r="B524" s="7">
        <v>19.66</v>
      </c>
      <c r="C524" s="7">
        <v>12.41</v>
      </c>
      <c r="D524" s="7">
        <v>9.4600000000000009</v>
      </c>
      <c r="E524" s="7">
        <v>8.11</v>
      </c>
      <c r="F524" s="7">
        <v>8.5299999999999994</v>
      </c>
      <c r="G524" s="7">
        <v>5.84</v>
      </c>
      <c r="H524" s="7">
        <v>5.76</v>
      </c>
      <c r="I524" s="7">
        <v>7.07</v>
      </c>
      <c r="J524" s="7">
        <v>3.2</v>
      </c>
      <c r="K524" s="7">
        <v>3.4</v>
      </c>
      <c r="L524" s="7">
        <v>19.420000000000002</v>
      </c>
      <c r="M524" s="7">
        <v>28.39</v>
      </c>
      <c r="N524" s="7">
        <v>18.45</v>
      </c>
      <c r="O524" s="7">
        <v>19.66</v>
      </c>
      <c r="P524" s="7">
        <v>16.940000000000001</v>
      </c>
      <c r="Q524" s="7">
        <v>16.059999999999999</v>
      </c>
      <c r="R524" s="7">
        <v>13.64</v>
      </c>
      <c r="S524" s="7">
        <v>12.41</v>
      </c>
      <c r="T524" s="7">
        <v>11.95</v>
      </c>
      <c r="U524" s="7">
        <v>10.75</v>
      </c>
      <c r="W524" s="33" t="s">
        <v>126</v>
      </c>
      <c r="X524" s="33">
        <v>974.4</v>
      </c>
    </row>
    <row r="525" spans="1:24" x14ac:dyDescent="0.2">
      <c r="A525" s="11" t="s">
        <v>133</v>
      </c>
      <c r="B525" s="11">
        <v>16.22</v>
      </c>
      <c r="C525" s="11">
        <v>11.03</v>
      </c>
      <c r="D525" s="11">
        <v>7.42</v>
      </c>
      <c r="E525" s="11">
        <v>5.08</v>
      </c>
      <c r="F525" s="11">
        <v>4.04</v>
      </c>
      <c r="G525" s="11">
        <v>4.6399999999999997</v>
      </c>
      <c r="H525" s="11">
        <v>5.23</v>
      </c>
      <c r="I525" s="11">
        <v>4.32</v>
      </c>
      <c r="J525" s="11">
        <v>3.2</v>
      </c>
      <c r="K525" s="11">
        <v>3.4</v>
      </c>
      <c r="L525" s="11">
        <v>19.420000000000002</v>
      </c>
      <c r="M525" s="11">
        <v>28.39</v>
      </c>
      <c r="N525" s="11">
        <v>18.45</v>
      </c>
      <c r="O525" s="11">
        <v>16.22</v>
      </c>
      <c r="P525" s="11">
        <v>16.940000000000001</v>
      </c>
      <c r="Q525" s="11">
        <v>16.059999999999999</v>
      </c>
      <c r="R525" s="11">
        <v>13.64</v>
      </c>
      <c r="S525" s="11">
        <v>11.03</v>
      </c>
      <c r="T525" s="11">
        <v>11.95</v>
      </c>
      <c r="U525" s="11">
        <v>10.75</v>
      </c>
      <c r="W525" s="35" t="s">
        <v>128</v>
      </c>
      <c r="X525" s="39" t="s">
        <v>59</v>
      </c>
    </row>
    <row r="526" spans="1:24" x14ac:dyDescent="0.2">
      <c r="A526" s="6" t="s">
        <v>134</v>
      </c>
      <c r="B526" s="6">
        <v>16.22</v>
      </c>
      <c r="C526" s="6">
        <v>11.03</v>
      </c>
      <c r="D526" s="6">
        <v>7.42</v>
      </c>
      <c r="E526" s="6">
        <v>5.08</v>
      </c>
      <c r="F526" s="6">
        <v>5.09</v>
      </c>
      <c r="G526" s="6">
        <v>4.6399999999999997</v>
      </c>
      <c r="H526" s="6">
        <v>5.23</v>
      </c>
      <c r="I526" s="6">
        <v>4.32</v>
      </c>
      <c r="J526" s="6">
        <v>3.2</v>
      </c>
      <c r="K526" s="6">
        <v>3.4</v>
      </c>
      <c r="L526" s="6">
        <v>19.420000000000002</v>
      </c>
      <c r="M526" s="6">
        <v>28.39</v>
      </c>
      <c r="N526" s="6">
        <v>18.45</v>
      </c>
      <c r="O526" s="6">
        <v>16.22</v>
      </c>
      <c r="P526" s="6">
        <v>16.940000000000001</v>
      </c>
      <c r="Q526" s="6">
        <v>16.059999999999999</v>
      </c>
      <c r="R526" s="6">
        <v>13.64</v>
      </c>
      <c r="S526" s="6">
        <v>11.03</v>
      </c>
      <c r="T526" s="6">
        <v>11.95</v>
      </c>
      <c r="U526" s="6">
        <v>10.75</v>
      </c>
      <c r="W526" s="33" t="s">
        <v>130</v>
      </c>
      <c r="X526" s="40">
        <v>-696</v>
      </c>
    </row>
    <row r="527" spans="1:24" x14ac:dyDescent="0.2">
      <c r="A527" s="2" t="s">
        <v>136</v>
      </c>
      <c r="B527" s="15" t="s">
        <v>59</v>
      </c>
      <c r="C527" s="15" t="s">
        <v>59</v>
      </c>
      <c r="D527" s="15" t="s">
        <v>59</v>
      </c>
      <c r="E527" s="2">
        <v>0</v>
      </c>
      <c r="F527" s="9">
        <v>-1.05</v>
      </c>
      <c r="G527" s="15" t="s">
        <v>59</v>
      </c>
      <c r="H527" s="15" t="s">
        <v>59</v>
      </c>
      <c r="I527" s="15" t="s">
        <v>59</v>
      </c>
      <c r="J527" s="15" t="s">
        <v>59</v>
      </c>
      <c r="K527" s="15" t="s">
        <v>59</v>
      </c>
      <c r="L527" s="15" t="s">
        <v>59</v>
      </c>
      <c r="M527" s="15" t="s">
        <v>59</v>
      </c>
      <c r="N527" s="15" t="s">
        <v>59</v>
      </c>
      <c r="O527" s="15" t="s">
        <v>59</v>
      </c>
      <c r="P527" s="15" t="s">
        <v>59</v>
      </c>
      <c r="Q527" s="15" t="s">
        <v>59</v>
      </c>
      <c r="R527" s="15" t="s">
        <v>59</v>
      </c>
      <c r="S527" s="15" t="s">
        <v>59</v>
      </c>
      <c r="T527" s="15" t="s">
        <v>59</v>
      </c>
      <c r="U527" s="15" t="s">
        <v>59</v>
      </c>
      <c r="W527" s="35" t="s">
        <v>132</v>
      </c>
      <c r="X527" s="39" t="s">
        <v>59</v>
      </c>
    </row>
    <row r="528" spans="1:24" x14ac:dyDescent="0.2">
      <c r="A528" s="6" t="s">
        <v>137</v>
      </c>
      <c r="B528" s="6">
        <v>3.45</v>
      </c>
      <c r="C528" s="6">
        <v>1.38</v>
      </c>
      <c r="D528" s="6">
        <v>2.04</v>
      </c>
      <c r="E528" s="6">
        <v>3.03</v>
      </c>
      <c r="F528" s="6">
        <v>4.49</v>
      </c>
      <c r="G528" s="6">
        <v>1.2</v>
      </c>
      <c r="H528" s="6">
        <v>0.54</v>
      </c>
      <c r="I528" s="6">
        <v>2.75</v>
      </c>
      <c r="J528" s="6">
        <v>0</v>
      </c>
      <c r="K528" s="6">
        <v>0</v>
      </c>
      <c r="L528" s="6">
        <v>0</v>
      </c>
      <c r="M528" s="6">
        <v>0</v>
      </c>
      <c r="N528" s="6">
        <v>0</v>
      </c>
      <c r="O528" s="6">
        <v>3.45</v>
      </c>
      <c r="P528" s="6">
        <v>0</v>
      </c>
      <c r="Q528" s="6">
        <v>0</v>
      </c>
      <c r="R528" s="6">
        <v>0</v>
      </c>
      <c r="S528" s="6">
        <v>1.38</v>
      </c>
      <c r="T528" s="6">
        <v>0</v>
      </c>
      <c r="U528" s="6">
        <v>0</v>
      </c>
      <c r="W528" s="33"/>
      <c r="X528" s="33"/>
    </row>
    <row r="529" spans="1:24" x14ac:dyDescent="0.2">
      <c r="A529" s="2" t="s">
        <v>112</v>
      </c>
      <c r="B529" s="2">
        <v>0</v>
      </c>
      <c r="C529" s="2">
        <v>0.54</v>
      </c>
      <c r="D529" s="2">
        <v>0.39</v>
      </c>
      <c r="E529" s="2">
        <v>0.48</v>
      </c>
      <c r="F529" s="2">
        <v>0.4</v>
      </c>
      <c r="G529" s="2">
        <v>0.32</v>
      </c>
      <c r="H529" s="2">
        <v>0.3</v>
      </c>
      <c r="I529" s="2">
        <v>0.22</v>
      </c>
      <c r="J529" s="2">
        <v>0.23</v>
      </c>
      <c r="K529" s="2">
        <v>0.18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0.54</v>
      </c>
      <c r="T529" s="2">
        <v>0</v>
      </c>
      <c r="U529" s="2">
        <v>0</v>
      </c>
      <c r="W529" s="33" t="s">
        <v>135</v>
      </c>
      <c r="X529" s="33"/>
    </row>
    <row r="530" spans="1:24" x14ac:dyDescent="0.2">
      <c r="A530" s="7" t="s">
        <v>142</v>
      </c>
      <c r="B530" s="7">
        <v>6.52</v>
      </c>
      <c r="C530" s="7">
        <v>4.41</v>
      </c>
      <c r="D530" s="7">
        <v>11.11</v>
      </c>
      <c r="E530" s="7">
        <v>6.65</v>
      </c>
      <c r="F530" s="7">
        <v>4.42</v>
      </c>
      <c r="G530" s="7">
        <v>2.86</v>
      </c>
      <c r="H530" s="7">
        <v>6.89</v>
      </c>
      <c r="I530" s="7">
        <v>4.5599999999999996</v>
      </c>
      <c r="J530" s="7">
        <v>1.41</v>
      </c>
      <c r="K530" s="7">
        <v>1.57</v>
      </c>
      <c r="L530" s="7">
        <v>14.67</v>
      </c>
      <c r="M530" s="7">
        <v>9.48</v>
      </c>
      <c r="N530" s="7">
        <v>6.69</v>
      </c>
      <c r="O530" s="7">
        <v>6.52</v>
      </c>
      <c r="P530" s="7">
        <v>7.23</v>
      </c>
      <c r="Q530" s="7">
        <v>6.77</v>
      </c>
      <c r="R530" s="7">
        <v>3.77</v>
      </c>
      <c r="S530" s="7">
        <v>4.41</v>
      </c>
      <c r="T530" s="7">
        <v>5.91</v>
      </c>
      <c r="U530" s="7">
        <v>13.33</v>
      </c>
      <c r="W530" s="34" t="s">
        <v>1</v>
      </c>
      <c r="X530" s="34" t="s">
        <v>7</v>
      </c>
    </row>
    <row r="531" spans="1:24" x14ac:dyDescent="0.2">
      <c r="A531" s="2" t="s">
        <v>144</v>
      </c>
      <c r="B531" s="15" t="s">
        <v>59</v>
      </c>
      <c r="C531" s="2">
        <v>3.57</v>
      </c>
      <c r="D531" s="2">
        <v>2.74</v>
      </c>
      <c r="E531" s="2">
        <v>2.5299999999999998</v>
      </c>
      <c r="F531" s="2">
        <v>1.53</v>
      </c>
      <c r="G531" s="2">
        <v>1.47</v>
      </c>
      <c r="H531" s="2">
        <v>1.76</v>
      </c>
      <c r="I531" s="2">
        <v>1.62</v>
      </c>
      <c r="J531" s="2">
        <v>1.41</v>
      </c>
      <c r="K531" s="2">
        <v>1.19</v>
      </c>
      <c r="L531" s="15" t="s">
        <v>59</v>
      </c>
      <c r="M531" s="15" t="s">
        <v>59</v>
      </c>
      <c r="N531" s="15" t="s">
        <v>59</v>
      </c>
      <c r="O531" s="15" t="s">
        <v>59</v>
      </c>
      <c r="P531" s="15" t="s">
        <v>59</v>
      </c>
      <c r="Q531" s="15" t="s">
        <v>59</v>
      </c>
      <c r="R531" s="15" t="s">
        <v>59</v>
      </c>
      <c r="S531" s="2">
        <v>3.57</v>
      </c>
      <c r="T531" s="15" t="s">
        <v>59</v>
      </c>
      <c r="U531" s="15" t="s">
        <v>59</v>
      </c>
      <c r="W531" s="35" t="s">
        <v>138</v>
      </c>
      <c r="X531" s="35">
        <v>48.4</v>
      </c>
    </row>
    <row r="532" spans="1:24" x14ac:dyDescent="0.2">
      <c r="A532" s="6" t="s">
        <v>146</v>
      </c>
      <c r="B532" s="6">
        <v>6.52</v>
      </c>
      <c r="C532" s="6">
        <v>0.85</v>
      </c>
      <c r="D532" s="6">
        <v>8.3699999999999992</v>
      </c>
      <c r="E532" s="6">
        <v>4.12</v>
      </c>
      <c r="F532" s="6">
        <v>2.89</v>
      </c>
      <c r="G532" s="6">
        <v>1.39</v>
      </c>
      <c r="H532" s="6">
        <v>5.13</v>
      </c>
      <c r="I532" s="6">
        <v>2.94</v>
      </c>
      <c r="J532" s="6">
        <v>0</v>
      </c>
      <c r="K532" s="6">
        <v>0.39</v>
      </c>
      <c r="L532" s="6">
        <v>14.67</v>
      </c>
      <c r="M532" s="6">
        <v>9.48</v>
      </c>
      <c r="N532" s="6">
        <v>6.69</v>
      </c>
      <c r="O532" s="6">
        <v>6.52</v>
      </c>
      <c r="P532" s="6">
        <v>7.23</v>
      </c>
      <c r="Q532" s="6">
        <v>6.77</v>
      </c>
      <c r="R532" s="6">
        <v>3.77</v>
      </c>
      <c r="S532" s="6">
        <v>0.85</v>
      </c>
      <c r="T532" s="6">
        <v>5.91</v>
      </c>
      <c r="U532" s="6">
        <v>13.33</v>
      </c>
      <c r="W532" s="33" t="s">
        <v>141</v>
      </c>
      <c r="X532" s="33">
        <v>104.7</v>
      </c>
    </row>
    <row r="533" spans="1:24" x14ac:dyDescent="0.2">
      <c r="A533" s="11" t="s">
        <v>148</v>
      </c>
      <c r="B533" s="11">
        <v>395.62</v>
      </c>
      <c r="C533" s="11">
        <v>144.34</v>
      </c>
      <c r="D533" s="11">
        <v>226.67</v>
      </c>
      <c r="E533" s="11">
        <v>70.150000000000006</v>
      </c>
      <c r="F533" s="11">
        <v>72.62</v>
      </c>
      <c r="G533" s="11">
        <v>30.19</v>
      </c>
      <c r="H533" s="11">
        <v>29.91</v>
      </c>
      <c r="I533" s="11">
        <v>15.91</v>
      </c>
      <c r="J533" s="11">
        <v>11.12</v>
      </c>
      <c r="K533" s="11">
        <v>19.62</v>
      </c>
      <c r="L533" s="11">
        <v>320.2</v>
      </c>
      <c r="M533" s="11">
        <v>312.83999999999997</v>
      </c>
      <c r="N533" s="11">
        <v>324.26</v>
      </c>
      <c r="O533" s="11">
        <v>395.62</v>
      </c>
      <c r="P533" s="11">
        <v>166.24</v>
      </c>
      <c r="Q533" s="11">
        <v>162.79</v>
      </c>
      <c r="R533" s="11">
        <v>170.88</v>
      </c>
      <c r="S533" s="11">
        <v>144.34</v>
      </c>
      <c r="T533" s="11">
        <v>132.84</v>
      </c>
      <c r="U533" s="11">
        <v>238.18</v>
      </c>
      <c r="W533" s="35" t="s">
        <v>143</v>
      </c>
      <c r="X533" s="35">
        <v>173.9</v>
      </c>
    </row>
    <row r="534" spans="1:24" x14ac:dyDescent="0.2">
      <c r="A534" s="6" t="s">
        <v>35</v>
      </c>
      <c r="B534" s="6">
        <v>174.08</v>
      </c>
      <c r="C534" s="13">
        <v>-36.32</v>
      </c>
      <c r="D534" s="6">
        <v>223.13</v>
      </c>
      <c r="E534" s="13">
        <v>-3.4</v>
      </c>
      <c r="F534" s="6">
        <v>140.54</v>
      </c>
      <c r="G534" s="6">
        <v>0.95</v>
      </c>
      <c r="H534" s="6">
        <v>87.99</v>
      </c>
      <c r="I534" s="6">
        <v>43.11</v>
      </c>
      <c r="J534" s="13">
        <v>-43.34</v>
      </c>
      <c r="K534" s="6">
        <v>8.27</v>
      </c>
      <c r="L534" s="6">
        <v>92.62</v>
      </c>
      <c r="M534" s="6">
        <v>92.18</v>
      </c>
      <c r="N534" s="6">
        <v>89.76</v>
      </c>
      <c r="O534" s="6">
        <v>174.08</v>
      </c>
      <c r="P534" s="6">
        <v>25.14</v>
      </c>
      <c r="Q534" s="13">
        <v>-31.65</v>
      </c>
      <c r="R534" s="13">
        <v>-31.49</v>
      </c>
      <c r="S534" s="13">
        <v>-36.32</v>
      </c>
      <c r="T534" s="13">
        <v>-40.450000000000003</v>
      </c>
      <c r="U534" s="6">
        <v>13.7</v>
      </c>
      <c r="W534" s="33" t="s">
        <v>145</v>
      </c>
      <c r="X534" s="40">
        <v>-4.3</v>
      </c>
    </row>
    <row r="535" spans="1:24" x14ac:dyDescent="0.2">
      <c r="A535" s="2" t="s">
        <v>150</v>
      </c>
      <c r="B535" s="2">
        <v>53.34</v>
      </c>
      <c r="C535" s="2">
        <v>36.69</v>
      </c>
      <c r="D535" s="2">
        <v>51.55</v>
      </c>
      <c r="E535" s="2">
        <v>26.84</v>
      </c>
      <c r="F535" s="2">
        <v>33.049999999999997</v>
      </c>
      <c r="G535" s="2">
        <v>17.36</v>
      </c>
      <c r="H535" s="2">
        <v>19.809999999999999</v>
      </c>
      <c r="I535" s="2">
        <v>12.12</v>
      </c>
      <c r="J535" s="2">
        <v>9.94</v>
      </c>
      <c r="K535" s="2">
        <v>16.260000000000002</v>
      </c>
      <c r="L535" s="2">
        <v>44.41</v>
      </c>
      <c r="M535" s="2">
        <v>44.17</v>
      </c>
      <c r="N535" s="2">
        <v>46.53</v>
      </c>
      <c r="O535" s="2">
        <v>53.34</v>
      </c>
      <c r="P535" s="2">
        <v>34.29</v>
      </c>
      <c r="Q535" s="2">
        <v>36.03</v>
      </c>
      <c r="R535" s="2">
        <v>41.45</v>
      </c>
      <c r="S535" s="2">
        <v>36.69</v>
      </c>
      <c r="T535" s="2">
        <v>37.770000000000003</v>
      </c>
      <c r="U535" s="2">
        <v>52.79</v>
      </c>
      <c r="W535" s="42" t="s">
        <v>147</v>
      </c>
      <c r="X535" s="42">
        <v>-255.7</v>
      </c>
    </row>
    <row r="536" spans="1:24" x14ac:dyDescent="0.2">
      <c r="A536" s="7" t="s">
        <v>151</v>
      </c>
      <c r="B536" s="7">
        <v>175</v>
      </c>
      <c r="C536" s="7">
        <v>110.38</v>
      </c>
      <c r="D536" s="7">
        <v>82.46</v>
      </c>
      <c r="E536" s="7">
        <v>69.540000000000006</v>
      </c>
      <c r="F536" s="7">
        <v>34.24</v>
      </c>
      <c r="G536" s="7">
        <v>36.08</v>
      </c>
      <c r="H536" s="7">
        <v>8.34</v>
      </c>
      <c r="I536" s="7">
        <v>5.83</v>
      </c>
      <c r="J536" s="7">
        <v>5</v>
      </c>
      <c r="K536" s="7">
        <v>4.59</v>
      </c>
      <c r="L536" s="7">
        <v>165.5</v>
      </c>
      <c r="M536" s="7">
        <v>159.53</v>
      </c>
      <c r="N536" s="7">
        <v>155.43</v>
      </c>
      <c r="O536" s="7">
        <v>175</v>
      </c>
      <c r="P536" s="7">
        <v>176.87</v>
      </c>
      <c r="Q536" s="7">
        <v>163.12</v>
      </c>
      <c r="R536" s="7">
        <v>99.35</v>
      </c>
      <c r="S536" s="7">
        <v>110.38</v>
      </c>
      <c r="T536" s="7">
        <v>84.34</v>
      </c>
      <c r="U536" s="7">
        <v>78.569999999999993</v>
      </c>
      <c r="W536" s="33" t="s">
        <v>149</v>
      </c>
      <c r="X536" s="33">
        <v>178.6</v>
      </c>
    </row>
    <row r="537" spans="1:24" x14ac:dyDescent="0.2">
      <c r="A537" s="11" t="s">
        <v>152</v>
      </c>
      <c r="B537" s="11">
        <v>221.38</v>
      </c>
      <c r="C537" s="11">
        <v>152.22999999999999</v>
      </c>
      <c r="D537" s="11">
        <v>113.92</v>
      </c>
      <c r="E537" s="11">
        <v>92.34</v>
      </c>
      <c r="F537" s="11">
        <v>51.89</v>
      </c>
      <c r="G537" s="11">
        <v>51.85</v>
      </c>
      <c r="H537" s="11">
        <v>21.08</v>
      </c>
      <c r="I537" s="11">
        <v>16.489999999999998</v>
      </c>
      <c r="J537" s="11">
        <v>13.96</v>
      </c>
      <c r="K537" s="11">
        <v>12.71</v>
      </c>
      <c r="L537" s="17" t="s">
        <v>59</v>
      </c>
      <c r="M537" s="17" t="s">
        <v>59</v>
      </c>
      <c r="N537" s="17" t="s">
        <v>59</v>
      </c>
      <c r="O537" s="11">
        <v>221.38</v>
      </c>
      <c r="P537" s="17" t="s">
        <v>59</v>
      </c>
      <c r="Q537" s="17" t="s">
        <v>59</v>
      </c>
      <c r="R537" s="17" t="s">
        <v>59</v>
      </c>
      <c r="S537" s="11">
        <v>152.22999999999999</v>
      </c>
      <c r="T537" s="17" t="s">
        <v>59</v>
      </c>
      <c r="U537" s="17" t="s">
        <v>59</v>
      </c>
      <c r="W537" s="33"/>
      <c r="X537" s="33"/>
    </row>
    <row r="538" spans="1:24" x14ac:dyDescent="0.2">
      <c r="A538" s="6" t="s">
        <v>153</v>
      </c>
      <c r="B538" s="6">
        <v>15.77</v>
      </c>
      <c r="C538" s="6">
        <v>15.77</v>
      </c>
      <c r="D538" s="6">
        <v>15.77</v>
      </c>
      <c r="E538" s="6">
        <v>15.77</v>
      </c>
      <c r="F538" s="6">
        <v>15.41</v>
      </c>
      <c r="G538" s="16" t="s">
        <v>59</v>
      </c>
      <c r="H538" s="16" t="s">
        <v>59</v>
      </c>
      <c r="I538" s="16" t="s">
        <v>59</v>
      </c>
      <c r="J538" s="16" t="s">
        <v>59</v>
      </c>
      <c r="K538" s="16" t="s">
        <v>59</v>
      </c>
      <c r="L538" s="16" t="s">
        <v>59</v>
      </c>
      <c r="M538" s="16" t="s">
        <v>59</v>
      </c>
      <c r="N538" s="16" t="s">
        <v>59</v>
      </c>
      <c r="O538" s="6">
        <v>15.77</v>
      </c>
      <c r="P538" s="16" t="s">
        <v>59</v>
      </c>
      <c r="Q538" s="16" t="s">
        <v>59</v>
      </c>
      <c r="R538" s="16" t="s">
        <v>59</v>
      </c>
      <c r="S538" s="6">
        <v>15.77</v>
      </c>
      <c r="T538" s="16" t="s">
        <v>59</v>
      </c>
      <c r="U538" s="16" t="s">
        <v>59</v>
      </c>
      <c r="W538" s="33" t="s">
        <v>93</v>
      </c>
      <c r="X538" s="33"/>
    </row>
    <row r="539" spans="1:24" x14ac:dyDescent="0.2">
      <c r="A539" s="2" t="s">
        <v>154</v>
      </c>
      <c r="B539" s="2">
        <v>2.83</v>
      </c>
      <c r="C539" s="2">
        <v>2.83</v>
      </c>
      <c r="D539" s="2">
        <v>2.83</v>
      </c>
      <c r="E539" s="2">
        <v>2.83</v>
      </c>
      <c r="F539" s="2">
        <v>2.83</v>
      </c>
      <c r="G539" s="2">
        <v>2.83</v>
      </c>
      <c r="H539" s="15" t="s">
        <v>59</v>
      </c>
      <c r="I539" s="15" t="s">
        <v>59</v>
      </c>
      <c r="J539" s="15" t="s">
        <v>59</v>
      </c>
      <c r="K539" s="15" t="s">
        <v>59</v>
      </c>
      <c r="L539" s="15" t="s">
        <v>59</v>
      </c>
      <c r="M539" s="15" t="s">
        <v>59</v>
      </c>
      <c r="N539" s="15" t="s">
        <v>59</v>
      </c>
      <c r="O539" s="2">
        <v>2.83</v>
      </c>
      <c r="P539" s="15" t="s">
        <v>59</v>
      </c>
      <c r="Q539" s="15" t="s">
        <v>59</v>
      </c>
      <c r="R539" s="15" t="s">
        <v>59</v>
      </c>
      <c r="S539" s="2">
        <v>2.83</v>
      </c>
      <c r="T539" s="15" t="s">
        <v>59</v>
      </c>
      <c r="U539" s="15" t="s">
        <v>59</v>
      </c>
      <c r="W539" s="34" t="s">
        <v>1</v>
      </c>
      <c r="X539" s="34" t="s">
        <v>7</v>
      </c>
    </row>
    <row r="540" spans="1:24" x14ac:dyDescent="0.2">
      <c r="A540" s="6" t="s">
        <v>155</v>
      </c>
      <c r="B540" s="16" t="s">
        <v>59</v>
      </c>
      <c r="C540" s="16" t="s">
        <v>59</v>
      </c>
      <c r="D540" s="16" t="s">
        <v>59</v>
      </c>
      <c r="E540" s="16" t="s">
        <v>59</v>
      </c>
      <c r="F540" s="16" t="s">
        <v>59</v>
      </c>
      <c r="G540" s="16" t="s">
        <v>59</v>
      </c>
      <c r="H540" s="16" t="s">
        <v>59</v>
      </c>
      <c r="I540" s="16" t="s">
        <v>59</v>
      </c>
      <c r="J540" s="6">
        <v>7.68</v>
      </c>
      <c r="K540" s="6">
        <v>7.25</v>
      </c>
      <c r="L540" s="16" t="s">
        <v>59</v>
      </c>
      <c r="M540" s="16" t="s">
        <v>59</v>
      </c>
      <c r="N540" s="16" t="s">
        <v>59</v>
      </c>
      <c r="O540" s="16" t="s">
        <v>59</v>
      </c>
      <c r="P540" s="16" t="s">
        <v>59</v>
      </c>
      <c r="Q540" s="16" t="s">
        <v>59</v>
      </c>
      <c r="R540" s="16" t="s">
        <v>59</v>
      </c>
      <c r="S540" s="16" t="s">
        <v>59</v>
      </c>
      <c r="T540" s="16" t="s">
        <v>59</v>
      </c>
      <c r="U540" s="16" t="s">
        <v>59</v>
      </c>
      <c r="W540" s="35" t="s">
        <v>10</v>
      </c>
      <c r="X540" s="35">
        <v>3.92</v>
      </c>
    </row>
    <row r="541" spans="1:24" x14ac:dyDescent="0.2">
      <c r="A541" s="2" t="s">
        <v>157</v>
      </c>
      <c r="B541" s="2">
        <v>15.09</v>
      </c>
      <c r="C541" s="2">
        <v>46.68</v>
      </c>
      <c r="D541" s="2">
        <v>23.01</v>
      </c>
      <c r="E541" s="2">
        <v>12.99</v>
      </c>
      <c r="F541" s="2">
        <v>2.85</v>
      </c>
      <c r="G541" s="2">
        <v>16.190000000000001</v>
      </c>
      <c r="H541" s="2">
        <v>1.96</v>
      </c>
      <c r="I541" s="2">
        <v>0.18</v>
      </c>
      <c r="J541" s="2">
        <v>0.2</v>
      </c>
      <c r="K541" s="2">
        <v>0.01</v>
      </c>
      <c r="L541" s="15" t="s">
        <v>59</v>
      </c>
      <c r="M541" s="15" t="s">
        <v>59</v>
      </c>
      <c r="N541" s="15" t="s">
        <v>59</v>
      </c>
      <c r="O541" s="2">
        <v>15.09</v>
      </c>
      <c r="P541" s="15" t="s">
        <v>59</v>
      </c>
      <c r="Q541" s="15" t="s">
        <v>59</v>
      </c>
      <c r="R541" s="15" t="s">
        <v>59</v>
      </c>
      <c r="S541" s="2">
        <v>46.68</v>
      </c>
      <c r="T541" s="15" t="s">
        <v>59</v>
      </c>
      <c r="U541" s="15" t="s">
        <v>59</v>
      </c>
      <c r="W541" s="33" t="s">
        <v>29</v>
      </c>
      <c r="X541" s="33">
        <v>6.12</v>
      </c>
    </row>
    <row r="542" spans="1:24" x14ac:dyDescent="0.2">
      <c r="A542" s="6" t="s">
        <v>296</v>
      </c>
      <c r="B542" s="6">
        <v>79.19</v>
      </c>
      <c r="C542" s="16" t="s">
        <v>59</v>
      </c>
      <c r="D542" s="16" t="s">
        <v>59</v>
      </c>
      <c r="E542" s="16" t="s">
        <v>59</v>
      </c>
      <c r="F542" s="16" t="s">
        <v>59</v>
      </c>
      <c r="G542" s="16" t="s">
        <v>59</v>
      </c>
      <c r="H542" s="16" t="s">
        <v>59</v>
      </c>
      <c r="I542" s="16" t="s">
        <v>59</v>
      </c>
      <c r="J542" s="16" t="s">
        <v>59</v>
      </c>
      <c r="K542" s="16" t="s">
        <v>59</v>
      </c>
      <c r="L542" s="16" t="s">
        <v>59</v>
      </c>
      <c r="M542" s="16" t="s">
        <v>59</v>
      </c>
      <c r="N542" s="16" t="s">
        <v>59</v>
      </c>
      <c r="O542" s="6">
        <v>79.19</v>
      </c>
      <c r="P542" s="16" t="s">
        <v>59</v>
      </c>
      <c r="Q542" s="16" t="s">
        <v>59</v>
      </c>
      <c r="R542" s="16" t="s">
        <v>59</v>
      </c>
      <c r="S542" s="16" t="s">
        <v>59</v>
      </c>
      <c r="T542" s="16" t="s">
        <v>59</v>
      </c>
      <c r="U542" s="16" t="s">
        <v>59</v>
      </c>
      <c r="W542" s="35" t="s">
        <v>31</v>
      </c>
      <c r="X542" s="35">
        <v>3.92</v>
      </c>
    </row>
    <row r="543" spans="1:24" x14ac:dyDescent="0.2">
      <c r="A543" s="2" t="s">
        <v>159</v>
      </c>
      <c r="B543" s="2">
        <v>59.46</v>
      </c>
      <c r="C543" s="2">
        <v>67.87</v>
      </c>
      <c r="D543" s="2">
        <v>56.7</v>
      </c>
      <c r="E543" s="2">
        <v>45.72</v>
      </c>
      <c r="F543" s="2">
        <v>24.51</v>
      </c>
      <c r="G543" s="2">
        <v>24.59</v>
      </c>
      <c r="H543" s="2">
        <v>19.12</v>
      </c>
      <c r="I543" s="2">
        <v>16.3</v>
      </c>
      <c r="J543" s="2">
        <v>6.08</v>
      </c>
      <c r="K543" s="2">
        <v>5.46</v>
      </c>
      <c r="L543" s="15" t="s">
        <v>59</v>
      </c>
      <c r="M543" s="15" t="s">
        <v>59</v>
      </c>
      <c r="N543" s="15" t="s">
        <v>59</v>
      </c>
      <c r="O543" s="2">
        <v>59.46</v>
      </c>
      <c r="P543" s="15" t="s">
        <v>59</v>
      </c>
      <c r="Q543" s="15" t="s">
        <v>59</v>
      </c>
      <c r="R543" s="15" t="s">
        <v>59</v>
      </c>
      <c r="S543" s="2">
        <v>67.87</v>
      </c>
      <c r="T543" s="15" t="s">
        <v>59</v>
      </c>
      <c r="U543" s="15" t="s">
        <v>59</v>
      </c>
      <c r="W543" s="33" t="s">
        <v>156</v>
      </c>
      <c r="X543" s="33">
        <v>1.1599999999999999</v>
      </c>
    </row>
    <row r="544" spans="1:24" x14ac:dyDescent="0.2">
      <c r="A544" s="6" t="s">
        <v>161</v>
      </c>
      <c r="B544" s="6">
        <v>49.05</v>
      </c>
      <c r="C544" s="6">
        <v>19.09</v>
      </c>
      <c r="D544" s="6">
        <v>15.61</v>
      </c>
      <c r="E544" s="6">
        <v>15.03</v>
      </c>
      <c r="F544" s="6">
        <v>6.29</v>
      </c>
      <c r="G544" s="6">
        <v>8.24</v>
      </c>
      <c r="H544" s="16" t="s">
        <v>59</v>
      </c>
      <c r="I544" s="16" t="s">
        <v>59</v>
      </c>
      <c r="J544" s="16" t="s">
        <v>59</v>
      </c>
      <c r="K544" s="16" t="s">
        <v>59</v>
      </c>
      <c r="L544" s="6">
        <v>48.67</v>
      </c>
      <c r="M544" s="6">
        <v>48.69</v>
      </c>
      <c r="N544" s="6">
        <v>47.88</v>
      </c>
      <c r="O544" s="6">
        <v>49.05</v>
      </c>
      <c r="P544" s="6">
        <v>57.75</v>
      </c>
      <c r="Q544" s="6">
        <v>55.38</v>
      </c>
      <c r="R544" s="16" t="s">
        <v>59</v>
      </c>
      <c r="S544" s="6">
        <v>19.09</v>
      </c>
      <c r="T544" s="16" t="s">
        <v>59</v>
      </c>
      <c r="U544" s="16" t="s">
        <v>59</v>
      </c>
      <c r="W544" s="35" t="s">
        <v>158</v>
      </c>
      <c r="X544" s="35">
        <v>2.99</v>
      </c>
    </row>
    <row r="545" spans="1:24" x14ac:dyDescent="0.2">
      <c r="A545" s="2" t="s">
        <v>163</v>
      </c>
      <c r="B545" s="2">
        <v>46.38</v>
      </c>
      <c r="C545" s="2">
        <v>41.85</v>
      </c>
      <c r="D545" s="2">
        <v>31.46</v>
      </c>
      <c r="E545" s="2">
        <v>22.8</v>
      </c>
      <c r="F545" s="2">
        <v>17.649999999999999</v>
      </c>
      <c r="G545" s="2">
        <v>15.76</v>
      </c>
      <c r="H545" s="2">
        <v>12.75</v>
      </c>
      <c r="I545" s="2">
        <v>10.66</v>
      </c>
      <c r="J545" s="2">
        <v>8.9700000000000006</v>
      </c>
      <c r="K545" s="2">
        <v>8.1199999999999992</v>
      </c>
      <c r="L545" s="15" t="s">
        <v>59</v>
      </c>
      <c r="M545" s="15" t="s">
        <v>59</v>
      </c>
      <c r="N545" s="15" t="s">
        <v>59</v>
      </c>
      <c r="O545" s="2">
        <v>46.38</v>
      </c>
      <c r="P545" s="15" t="s">
        <v>59</v>
      </c>
      <c r="Q545" s="15" t="s">
        <v>59</v>
      </c>
      <c r="R545" s="15" t="s">
        <v>59</v>
      </c>
      <c r="S545" s="2">
        <v>41.85</v>
      </c>
      <c r="T545" s="15" t="s">
        <v>59</v>
      </c>
      <c r="U545" s="15" t="s">
        <v>59</v>
      </c>
      <c r="W545" s="33" t="s">
        <v>160</v>
      </c>
      <c r="X545" s="33">
        <v>4.18</v>
      </c>
    </row>
    <row r="546" spans="1:24" x14ac:dyDescent="0.2">
      <c r="A546" s="7" t="s">
        <v>165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83.76</v>
      </c>
      <c r="M546" s="7">
        <v>83.19</v>
      </c>
      <c r="N546" s="7">
        <v>76.12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W546" s="35" t="s">
        <v>162</v>
      </c>
      <c r="X546" s="36">
        <v>-24.41</v>
      </c>
    </row>
    <row r="547" spans="1:24" x14ac:dyDescent="0.2">
      <c r="A547" s="2" t="s">
        <v>168</v>
      </c>
      <c r="B547" s="2">
        <v>0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83.76</v>
      </c>
      <c r="M547" s="2">
        <v>83.19</v>
      </c>
      <c r="N547" s="2">
        <v>76.12</v>
      </c>
      <c r="O547" s="2">
        <v>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W547" s="33" t="s">
        <v>164</v>
      </c>
      <c r="X547" s="38" t="s">
        <v>59</v>
      </c>
    </row>
    <row r="548" spans="1:24" x14ac:dyDescent="0.2">
      <c r="A548" s="7" t="s">
        <v>169</v>
      </c>
      <c r="B548" s="7">
        <v>126.78</v>
      </c>
      <c r="C548" s="7">
        <v>116.39</v>
      </c>
      <c r="D548" s="7">
        <v>108.62</v>
      </c>
      <c r="E548" s="7">
        <v>103.12</v>
      </c>
      <c r="F548" s="7">
        <v>103.02</v>
      </c>
      <c r="G548" s="7">
        <v>99.34</v>
      </c>
      <c r="H548" s="7">
        <v>100.6</v>
      </c>
      <c r="I548" s="7">
        <v>97</v>
      </c>
      <c r="J548" s="7">
        <v>94.74</v>
      </c>
      <c r="K548" s="7">
        <v>96.12</v>
      </c>
      <c r="L548" s="7">
        <v>111.91</v>
      </c>
      <c r="M548" s="7">
        <v>111.91</v>
      </c>
      <c r="N548" s="7">
        <v>107.42</v>
      </c>
      <c r="O548" s="7">
        <v>126.78</v>
      </c>
      <c r="P548" s="7">
        <v>114.24</v>
      </c>
      <c r="Q548" s="7">
        <v>108.54</v>
      </c>
      <c r="R548" s="7">
        <v>107.83</v>
      </c>
      <c r="S548" s="7">
        <v>116.39</v>
      </c>
      <c r="T548" s="7">
        <v>105.93</v>
      </c>
      <c r="U548" s="7">
        <v>106.25</v>
      </c>
      <c r="W548" s="33"/>
      <c r="X548" s="33"/>
    </row>
    <row r="549" spans="1:24" x14ac:dyDescent="0.2">
      <c r="A549" s="2" t="s">
        <v>171</v>
      </c>
      <c r="B549" s="2">
        <v>74.72</v>
      </c>
      <c r="C549" s="2">
        <v>67.709999999999994</v>
      </c>
      <c r="D549" s="2">
        <v>62.51</v>
      </c>
      <c r="E549" s="2">
        <v>56.88</v>
      </c>
      <c r="F549" s="2">
        <v>53.69</v>
      </c>
      <c r="G549" s="2">
        <v>50.19</v>
      </c>
      <c r="H549" s="2">
        <v>49.66</v>
      </c>
      <c r="I549" s="2">
        <v>46.56</v>
      </c>
      <c r="J549" s="2">
        <v>45.13</v>
      </c>
      <c r="K549" s="2">
        <v>45.13</v>
      </c>
      <c r="L549" s="2">
        <v>79.209999999999994</v>
      </c>
      <c r="M549" s="2">
        <v>79.209999999999994</v>
      </c>
      <c r="N549" s="2">
        <v>74.72</v>
      </c>
      <c r="O549" s="2">
        <v>74.72</v>
      </c>
      <c r="P549" s="2">
        <v>74.75</v>
      </c>
      <c r="Q549" s="2">
        <v>68.73</v>
      </c>
      <c r="R549" s="2">
        <v>67.709999999999994</v>
      </c>
      <c r="S549" s="2">
        <v>67.709999999999994</v>
      </c>
      <c r="T549" s="2">
        <v>65.180000000000007</v>
      </c>
      <c r="U549" s="2">
        <v>65.180000000000007</v>
      </c>
      <c r="W549" s="33" t="s">
        <v>167</v>
      </c>
      <c r="X549" s="33"/>
    </row>
    <row r="550" spans="1:24" x14ac:dyDescent="0.2">
      <c r="A550" s="6" t="s">
        <v>297</v>
      </c>
      <c r="B550" s="6">
        <v>52.07</v>
      </c>
      <c r="C550" s="6">
        <v>48.68</v>
      </c>
      <c r="D550" s="6">
        <v>46.11</v>
      </c>
      <c r="E550" s="6">
        <v>46.24</v>
      </c>
      <c r="F550" s="6">
        <v>49.33</v>
      </c>
      <c r="G550" s="6">
        <v>49.15</v>
      </c>
      <c r="H550" s="6">
        <v>50.94</v>
      </c>
      <c r="I550" s="6">
        <v>50.44</v>
      </c>
      <c r="J550" s="6">
        <v>49.61</v>
      </c>
      <c r="K550" s="6">
        <v>51</v>
      </c>
      <c r="L550" s="6">
        <v>32.700000000000003</v>
      </c>
      <c r="M550" s="6">
        <v>32.700000000000003</v>
      </c>
      <c r="N550" s="6">
        <v>32.700000000000003</v>
      </c>
      <c r="O550" s="6">
        <v>52.07</v>
      </c>
      <c r="P550" s="6">
        <v>39.49</v>
      </c>
      <c r="Q550" s="6">
        <v>39.81</v>
      </c>
      <c r="R550" s="6">
        <v>40.119999999999997</v>
      </c>
      <c r="S550" s="6">
        <v>48.68</v>
      </c>
      <c r="T550" s="6">
        <v>40.76</v>
      </c>
      <c r="U550" s="6">
        <v>41.08</v>
      </c>
      <c r="W550" s="34" t="s">
        <v>1</v>
      </c>
      <c r="X550" s="34" t="s">
        <v>7</v>
      </c>
    </row>
    <row r="551" spans="1:24" x14ac:dyDescent="0.2">
      <c r="A551" s="2" t="s">
        <v>173</v>
      </c>
      <c r="B551" s="2">
        <v>25.5</v>
      </c>
      <c r="C551" s="2">
        <v>15.64</v>
      </c>
      <c r="D551" s="2">
        <v>15.5</v>
      </c>
      <c r="E551" s="2">
        <v>12.19</v>
      </c>
      <c r="F551" s="2">
        <v>8.18</v>
      </c>
      <c r="G551" s="2">
        <v>7.8</v>
      </c>
      <c r="H551" s="2">
        <v>11.22</v>
      </c>
      <c r="I551" s="2">
        <v>11.44</v>
      </c>
      <c r="J551" s="15" t="s">
        <v>59</v>
      </c>
      <c r="K551" s="15" t="s">
        <v>59</v>
      </c>
      <c r="L551" s="15" t="s">
        <v>59</v>
      </c>
      <c r="M551" s="15" t="s">
        <v>59</v>
      </c>
      <c r="N551" s="15" t="s">
        <v>59</v>
      </c>
      <c r="O551" s="2">
        <v>25.5</v>
      </c>
      <c r="P551" s="15" t="s">
        <v>59</v>
      </c>
      <c r="Q551" s="15" t="s">
        <v>59</v>
      </c>
      <c r="R551" s="15" t="s">
        <v>59</v>
      </c>
      <c r="S551" s="2">
        <v>15.64</v>
      </c>
      <c r="T551" s="15" t="s">
        <v>59</v>
      </c>
      <c r="U551" s="15" t="s">
        <v>59</v>
      </c>
      <c r="W551" s="35" t="s">
        <v>170</v>
      </c>
      <c r="X551" s="35">
        <v>62.8</v>
      </c>
    </row>
    <row r="552" spans="1:24" x14ac:dyDescent="0.2">
      <c r="A552" s="7" t="s">
        <v>175</v>
      </c>
      <c r="B552" s="7">
        <v>18.850000000000001</v>
      </c>
      <c r="C552" s="7">
        <v>6.71</v>
      </c>
      <c r="D552" s="7">
        <v>6.43</v>
      </c>
      <c r="E552" s="7">
        <v>6.4</v>
      </c>
      <c r="F552" s="7">
        <v>1.68</v>
      </c>
      <c r="G552" s="7">
        <v>0.5</v>
      </c>
      <c r="H552" s="7">
        <v>0.91</v>
      </c>
      <c r="I552" s="7">
        <v>1.1100000000000001</v>
      </c>
      <c r="J552" s="7">
        <v>0.94</v>
      </c>
      <c r="K552" s="7">
        <v>0.31</v>
      </c>
      <c r="L552" s="7">
        <v>39.65</v>
      </c>
      <c r="M552" s="7">
        <v>40.82</v>
      </c>
      <c r="N552" s="7">
        <v>33.58</v>
      </c>
      <c r="O552" s="7">
        <v>18.850000000000001</v>
      </c>
      <c r="P552" s="7">
        <v>27.41</v>
      </c>
      <c r="Q552" s="7">
        <v>17.38</v>
      </c>
      <c r="R552" s="7">
        <v>34.200000000000003</v>
      </c>
      <c r="S552" s="7">
        <v>6.71</v>
      </c>
      <c r="T552" s="7">
        <v>28.56</v>
      </c>
      <c r="U552" s="7">
        <v>28.21</v>
      </c>
      <c r="W552" s="33" t="s">
        <v>172</v>
      </c>
      <c r="X552" s="40">
        <v>-5.9</v>
      </c>
    </row>
    <row r="553" spans="1:24" x14ac:dyDescent="0.2">
      <c r="A553" s="2" t="s">
        <v>177</v>
      </c>
      <c r="B553" s="2">
        <v>18.850000000000001</v>
      </c>
      <c r="C553" s="2">
        <v>6.71</v>
      </c>
      <c r="D553" s="2">
        <v>6.43</v>
      </c>
      <c r="E553" s="2">
        <v>6.4</v>
      </c>
      <c r="F553" s="2">
        <v>1.68</v>
      </c>
      <c r="G553" s="2">
        <v>0.5</v>
      </c>
      <c r="H553" s="2">
        <v>0.91</v>
      </c>
      <c r="I553" s="2">
        <v>1.1100000000000001</v>
      </c>
      <c r="J553" s="2">
        <v>0.94</v>
      </c>
      <c r="K553" s="2">
        <v>0.31</v>
      </c>
      <c r="L553" s="2">
        <v>39.65</v>
      </c>
      <c r="M553" s="2">
        <v>40.82</v>
      </c>
      <c r="N553" s="2">
        <v>33.58</v>
      </c>
      <c r="O553" s="2">
        <v>18.850000000000001</v>
      </c>
      <c r="P553" s="2">
        <v>27.41</v>
      </c>
      <c r="Q553" s="2">
        <v>17.38</v>
      </c>
      <c r="R553" s="2">
        <v>34.200000000000003</v>
      </c>
      <c r="S553" s="2">
        <v>6.71</v>
      </c>
      <c r="T553" s="2">
        <v>28.56</v>
      </c>
      <c r="U553" s="2">
        <v>28.21</v>
      </c>
      <c r="W553" s="35" t="s">
        <v>174</v>
      </c>
      <c r="X553" s="35">
        <v>6.8</v>
      </c>
    </row>
    <row r="554" spans="1:24" x14ac:dyDescent="0.2">
      <c r="A554" s="7" t="s">
        <v>118</v>
      </c>
      <c r="B554" s="7">
        <v>741.75</v>
      </c>
      <c r="C554" s="7">
        <v>393.46</v>
      </c>
      <c r="D554" s="7">
        <v>439.69</v>
      </c>
      <c r="E554" s="7">
        <v>261.39</v>
      </c>
      <c r="F554" s="7">
        <v>219.74</v>
      </c>
      <c r="G554" s="7">
        <v>173.91</v>
      </c>
      <c r="H554" s="7">
        <v>150.97</v>
      </c>
      <c r="I554" s="7">
        <v>131.28</v>
      </c>
      <c r="J554" s="7">
        <v>111.8</v>
      </c>
      <c r="K554" s="7">
        <v>120.65</v>
      </c>
      <c r="L554" s="7">
        <v>721.03</v>
      </c>
      <c r="M554" s="7">
        <v>708.29</v>
      </c>
      <c r="N554" s="7">
        <v>696.8</v>
      </c>
      <c r="O554" s="7">
        <v>741.75</v>
      </c>
      <c r="P554" s="7">
        <v>484.76</v>
      </c>
      <c r="Q554" s="7">
        <v>451.82</v>
      </c>
      <c r="R554" s="7">
        <v>412.25</v>
      </c>
      <c r="S554" s="7">
        <v>393.46</v>
      </c>
      <c r="T554" s="7">
        <v>351.68</v>
      </c>
      <c r="U554" s="7">
        <v>451.22</v>
      </c>
      <c r="W554" s="33" t="s">
        <v>176</v>
      </c>
      <c r="X554" s="49">
        <v>1129.4000000000001</v>
      </c>
    </row>
    <row r="555" spans="1:24" x14ac:dyDescent="0.2">
      <c r="A555" s="2" t="s">
        <v>35</v>
      </c>
      <c r="B555" s="2">
        <v>88.52</v>
      </c>
      <c r="C555" s="9">
        <v>-10.51</v>
      </c>
      <c r="D555" s="2">
        <v>68.209999999999994</v>
      </c>
      <c r="E555" s="2">
        <v>18.95</v>
      </c>
      <c r="F555" s="2">
        <v>26.35</v>
      </c>
      <c r="G555" s="2">
        <v>15.2</v>
      </c>
      <c r="H555" s="2">
        <v>15</v>
      </c>
      <c r="I555" s="2">
        <v>17.420000000000002</v>
      </c>
      <c r="J555" s="9">
        <v>-7.34</v>
      </c>
      <c r="K555" s="9">
        <v>-3.24</v>
      </c>
      <c r="L555" s="2">
        <v>48.74</v>
      </c>
      <c r="M555" s="2">
        <v>56.76</v>
      </c>
      <c r="N555" s="2">
        <v>69.02</v>
      </c>
      <c r="O555" s="2">
        <v>88.52</v>
      </c>
      <c r="P555" s="2">
        <v>37.840000000000003</v>
      </c>
      <c r="Q555" s="2">
        <v>0.13</v>
      </c>
      <c r="R555" s="9">
        <v>-8.65</v>
      </c>
      <c r="S555" s="9">
        <v>-10.51</v>
      </c>
      <c r="T555" s="9">
        <v>-14.44</v>
      </c>
      <c r="U555" s="2">
        <v>14.13</v>
      </c>
      <c r="W555" s="35" t="s">
        <v>178</v>
      </c>
      <c r="X555" s="50">
        <v>1129.4000000000001</v>
      </c>
    </row>
    <row r="556" spans="1:24" x14ac:dyDescent="0.2">
      <c r="A556" s="7" t="s">
        <v>181</v>
      </c>
      <c r="B556" s="7" t="s">
        <v>1</v>
      </c>
      <c r="C556" s="7" t="s">
        <v>1</v>
      </c>
      <c r="D556" s="7" t="s">
        <v>1</v>
      </c>
      <c r="E556" s="7" t="s">
        <v>1</v>
      </c>
      <c r="F556" s="7" t="s">
        <v>1</v>
      </c>
      <c r="G556" s="7" t="s">
        <v>1</v>
      </c>
      <c r="H556" s="7" t="s">
        <v>1</v>
      </c>
      <c r="I556" s="7" t="s">
        <v>1</v>
      </c>
      <c r="J556" s="7" t="s">
        <v>1</v>
      </c>
      <c r="K556" s="7" t="s">
        <v>1</v>
      </c>
      <c r="L556" s="7" t="s">
        <v>1</v>
      </c>
      <c r="M556" s="7" t="s">
        <v>1</v>
      </c>
      <c r="N556" s="7" t="s">
        <v>1</v>
      </c>
      <c r="O556" s="7" t="s">
        <v>1</v>
      </c>
      <c r="P556" s="7" t="s">
        <v>1</v>
      </c>
      <c r="Q556" s="7" t="s">
        <v>1</v>
      </c>
      <c r="R556" s="7" t="s">
        <v>1</v>
      </c>
      <c r="S556" s="7" t="s">
        <v>1</v>
      </c>
      <c r="T556" s="7" t="s">
        <v>1</v>
      </c>
      <c r="U556" s="7" t="s">
        <v>1</v>
      </c>
      <c r="W556" s="33" t="s">
        <v>179</v>
      </c>
      <c r="X556" s="33">
        <v>1.4</v>
      </c>
    </row>
    <row r="557" spans="1:24" x14ac:dyDescent="0.2">
      <c r="A557" s="11" t="s">
        <v>183</v>
      </c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W557" s="35" t="s">
        <v>182</v>
      </c>
      <c r="X557" s="35">
        <v>58.8</v>
      </c>
    </row>
    <row r="558" spans="1:24" x14ac:dyDescent="0.2">
      <c r="A558" s="6" t="s">
        <v>185</v>
      </c>
      <c r="B558" s="6">
        <v>1.06</v>
      </c>
      <c r="C558" s="6">
        <v>2.38</v>
      </c>
      <c r="D558" s="6">
        <v>9.58</v>
      </c>
      <c r="E558" s="6">
        <v>2.44</v>
      </c>
      <c r="F558" s="6">
        <v>5.99</v>
      </c>
      <c r="G558" s="6">
        <v>5.01</v>
      </c>
      <c r="H558" s="6">
        <v>2.4</v>
      </c>
      <c r="I558" s="6">
        <v>3.5</v>
      </c>
      <c r="J558" s="6">
        <v>3.5</v>
      </c>
      <c r="K558" s="6">
        <v>0</v>
      </c>
      <c r="L558" s="6">
        <v>2.96</v>
      </c>
      <c r="M558" s="6">
        <v>2.96</v>
      </c>
      <c r="N558" s="6">
        <v>2.99</v>
      </c>
      <c r="O558" s="6">
        <v>1.06</v>
      </c>
      <c r="P558" s="6">
        <v>3.53</v>
      </c>
      <c r="Q558" s="6">
        <v>4.0599999999999996</v>
      </c>
      <c r="R558" s="6">
        <v>0</v>
      </c>
      <c r="S558" s="6">
        <v>2.38</v>
      </c>
      <c r="T558" s="6">
        <v>0</v>
      </c>
      <c r="U558" s="6">
        <v>0</v>
      </c>
      <c r="W558" s="33" t="s">
        <v>184</v>
      </c>
      <c r="X558" s="33">
        <v>82.3</v>
      </c>
    </row>
    <row r="559" spans="1:24" x14ac:dyDescent="0.2">
      <c r="A559" s="2" t="s">
        <v>116</v>
      </c>
      <c r="B559" s="2">
        <v>6.94</v>
      </c>
      <c r="C559" s="2">
        <v>4.7300000000000004</v>
      </c>
      <c r="D559" s="2">
        <v>5.22</v>
      </c>
      <c r="E559" s="2">
        <v>5.41</v>
      </c>
      <c r="F559" s="2">
        <v>3.66</v>
      </c>
      <c r="G559" s="2">
        <v>3.35</v>
      </c>
      <c r="H559" s="2">
        <v>2.75</v>
      </c>
      <c r="I559" s="2">
        <v>1.75</v>
      </c>
      <c r="J559" s="2">
        <v>1.46</v>
      </c>
      <c r="K559" s="2">
        <v>1.25</v>
      </c>
      <c r="L559" s="2">
        <v>11</v>
      </c>
      <c r="M559" s="2">
        <v>3.3</v>
      </c>
      <c r="N559" s="2">
        <v>7.9</v>
      </c>
      <c r="O559" s="2">
        <v>6.94</v>
      </c>
      <c r="P559" s="2">
        <v>10.3</v>
      </c>
      <c r="Q559" s="2">
        <v>5.75</v>
      </c>
      <c r="R559" s="2">
        <v>6.44</v>
      </c>
      <c r="S559" s="2">
        <v>4.7300000000000004</v>
      </c>
      <c r="T559" s="2">
        <v>5.0999999999999996</v>
      </c>
      <c r="U559" s="2">
        <v>6.11</v>
      </c>
      <c r="W559" s="35" t="s">
        <v>186</v>
      </c>
      <c r="X559" s="35">
        <v>9.8000000000000007</v>
      </c>
    </row>
    <row r="560" spans="1:24" x14ac:dyDescent="0.2">
      <c r="A560" s="6" t="s">
        <v>188</v>
      </c>
      <c r="B560" s="16" t="s">
        <v>59</v>
      </c>
      <c r="C560" s="6">
        <v>2.95</v>
      </c>
      <c r="D560" s="6">
        <v>6.4</v>
      </c>
      <c r="E560" s="6">
        <v>0</v>
      </c>
      <c r="F560" s="6">
        <v>0</v>
      </c>
      <c r="G560" s="6">
        <v>0.52</v>
      </c>
      <c r="H560" s="6">
        <v>0.4</v>
      </c>
      <c r="I560" s="6">
        <v>0.16</v>
      </c>
      <c r="J560" s="6">
        <v>0.9</v>
      </c>
      <c r="K560" s="6">
        <v>0.16</v>
      </c>
      <c r="L560" s="16" t="s">
        <v>59</v>
      </c>
      <c r="M560" s="16" t="s">
        <v>59</v>
      </c>
      <c r="N560" s="16" t="s">
        <v>59</v>
      </c>
      <c r="O560" s="16" t="s">
        <v>59</v>
      </c>
      <c r="P560" s="16" t="s">
        <v>59</v>
      </c>
      <c r="Q560" s="16" t="s">
        <v>59</v>
      </c>
      <c r="R560" s="16" t="s">
        <v>59</v>
      </c>
      <c r="S560" s="6">
        <v>2.95</v>
      </c>
      <c r="T560" s="16" t="s">
        <v>59</v>
      </c>
      <c r="U560" s="16" t="s">
        <v>59</v>
      </c>
      <c r="W560" s="33" t="s">
        <v>187</v>
      </c>
      <c r="X560" s="33">
        <v>11.2</v>
      </c>
    </row>
    <row r="561" spans="1:24" x14ac:dyDescent="0.2">
      <c r="A561" s="11" t="s">
        <v>190</v>
      </c>
      <c r="B561" s="11">
        <v>79.44</v>
      </c>
      <c r="C561" s="11">
        <v>60.95</v>
      </c>
      <c r="D561" s="11">
        <v>41.21</v>
      </c>
      <c r="E561" s="11">
        <v>31.82</v>
      </c>
      <c r="F561" s="11">
        <v>40.83</v>
      </c>
      <c r="G561" s="11">
        <v>24.05</v>
      </c>
      <c r="H561" s="11">
        <v>20.93</v>
      </c>
      <c r="I561" s="11">
        <v>13.71</v>
      </c>
      <c r="J561" s="11">
        <v>10.88</v>
      </c>
      <c r="K561" s="11">
        <v>11.16</v>
      </c>
      <c r="L561" s="11">
        <v>65.03</v>
      </c>
      <c r="M561" s="11">
        <v>65.33</v>
      </c>
      <c r="N561" s="11">
        <v>80.11</v>
      </c>
      <c r="O561" s="11">
        <v>79.44</v>
      </c>
      <c r="P561" s="11">
        <v>105.06</v>
      </c>
      <c r="Q561" s="11">
        <v>74.72</v>
      </c>
      <c r="R561" s="11">
        <v>72.39</v>
      </c>
      <c r="S561" s="11">
        <v>60.95</v>
      </c>
      <c r="T561" s="11">
        <v>62.23</v>
      </c>
      <c r="U561" s="11">
        <v>52.68</v>
      </c>
      <c r="W561" s="35" t="s">
        <v>189</v>
      </c>
      <c r="X561" s="35">
        <v>32.799999999999997</v>
      </c>
    </row>
    <row r="562" spans="1:24" x14ac:dyDescent="0.2">
      <c r="A562" s="6" t="s">
        <v>192</v>
      </c>
      <c r="B562" s="6">
        <v>15.52</v>
      </c>
      <c r="C562" s="6">
        <v>14.33</v>
      </c>
      <c r="D562" s="6">
        <v>8.73</v>
      </c>
      <c r="E562" s="6">
        <v>9.9700000000000006</v>
      </c>
      <c r="F562" s="6">
        <v>11.18</v>
      </c>
      <c r="G562" s="6">
        <v>7.51</v>
      </c>
      <c r="H562" s="6">
        <v>5.18</v>
      </c>
      <c r="I562" s="6">
        <v>4.1900000000000004</v>
      </c>
      <c r="J562" s="6">
        <v>3.88</v>
      </c>
      <c r="K562" s="6">
        <v>2.81</v>
      </c>
      <c r="L562" s="16" t="s">
        <v>59</v>
      </c>
      <c r="M562" s="16" t="s">
        <v>59</v>
      </c>
      <c r="N562" s="16" t="s">
        <v>59</v>
      </c>
      <c r="O562" s="6">
        <v>15.52</v>
      </c>
      <c r="P562" s="16" t="s">
        <v>59</v>
      </c>
      <c r="Q562" s="16" t="s">
        <v>59</v>
      </c>
      <c r="R562" s="16" t="s">
        <v>59</v>
      </c>
      <c r="S562" s="6">
        <v>14.33</v>
      </c>
      <c r="T562" s="16" t="s">
        <v>59</v>
      </c>
      <c r="U562" s="16" t="s">
        <v>59</v>
      </c>
      <c r="W562" s="33" t="s">
        <v>191</v>
      </c>
      <c r="X562" s="33">
        <v>43.1</v>
      </c>
    </row>
    <row r="563" spans="1:24" x14ac:dyDescent="0.2">
      <c r="A563" s="2" t="s">
        <v>194</v>
      </c>
      <c r="B563" s="2">
        <v>63.93</v>
      </c>
      <c r="C563" s="2">
        <v>46.62</v>
      </c>
      <c r="D563" s="2">
        <v>32.479999999999997</v>
      </c>
      <c r="E563" s="2">
        <v>21.86</v>
      </c>
      <c r="F563" s="2">
        <v>29.66</v>
      </c>
      <c r="G563" s="2">
        <v>16.54</v>
      </c>
      <c r="H563" s="2">
        <v>15.75</v>
      </c>
      <c r="I563" s="2">
        <v>9.52</v>
      </c>
      <c r="J563" s="2">
        <v>7</v>
      </c>
      <c r="K563" s="2">
        <v>8.35</v>
      </c>
      <c r="L563" s="2">
        <v>65.03</v>
      </c>
      <c r="M563" s="2">
        <v>65.33</v>
      </c>
      <c r="N563" s="2">
        <v>80.11</v>
      </c>
      <c r="O563" s="2">
        <v>63.93</v>
      </c>
      <c r="P563" s="2">
        <v>105.06</v>
      </c>
      <c r="Q563" s="2">
        <v>74.72</v>
      </c>
      <c r="R563" s="2">
        <v>72.39</v>
      </c>
      <c r="S563" s="2">
        <v>46.62</v>
      </c>
      <c r="T563" s="2">
        <v>62.23</v>
      </c>
      <c r="U563" s="2">
        <v>52.68</v>
      </c>
      <c r="W563" s="35" t="s">
        <v>193</v>
      </c>
      <c r="X563" s="35">
        <v>75.2</v>
      </c>
    </row>
    <row r="564" spans="1:24" x14ac:dyDescent="0.2">
      <c r="A564" s="7" t="s">
        <v>196</v>
      </c>
      <c r="B564" s="7">
        <v>87.44</v>
      </c>
      <c r="C564" s="7">
        <v>71</v>
      </c>
      <c r="D564" s="7">
        <v>62.41</v>
      </c>
      <c r="E564" s="7">
        <v>39.68</v>
      </c>
      <c r="F564" s="7">
        <v>50.47</v>
      </c>
      <c r="G564" s="7">
        <v>32.93</v>
      </c>
      <c r="H564" s="7">
        <v>26.48</v>
      </c>
      <c r="I564" s="7">
        <v>19.13</v>
      </c>
      <c r="J564" s="7">
        <v>16.73</v>
      </c>
      <c r="K564" s="7">
        <v>12.57</v>
      </c>
      <c r="L564" s="7">
        <v>78.98</v>
      </c>
      <c r="M564" s="7">
        <v>71.59</v>
      </c>
      <c r="N564" s="7">
        <v>91.01</v>
      </c>
      <c r="O564" s="7">
        <v>87.44</v>
      </c>
      <c r="P564" s="7">
        <v>118.89</v>
      </c>
      <c r="Q564" s="7">
        <v>84.54</v>
      </c>
      <c r="R564" s="7">
        <v>78.83</v>
      </c>
      <c r="S564" s="7">
        <v>71</v>
      </c>
      <c r="T564" s="7">
        <v>67.33</v>
      </c>
      <c r="U564" s="7">
        <v>58.79</v>
      </c>
      <c r="W564" s="33" t="s">
        <v>195</v>
      </c>
      <c r="X564" s="33">
        <v>0.5</v>
      </c>
    </row>
    <row r="565" spans="1:24" x14ac:dyDescent="0.2">
      <c r="A565" s="2" t="s">
        <v>35</v>
      </c>
      <c r="B565" s="2">
        <v>23.15</v>
      </c>
      <c r="C565" s="2">
        <v>13.77</v>
      </c>
      <c r="D565" s="2">
        <v>57.28</v>
      </c>
      <c r="E565" s="9">
        <v>-21.38</v>
      </c>
      <c r="F565" s="2">
        <v>53.28</v>
      </c>
      <c r="G565" s="2">
        <v>24.34</v>
      </c>
      <c r="H565" s="2">
        <v>38.47</v>
      </c>
      <c r="I565" s="2">
        <v>14.3</v>
      </c>
      <c r="J565" s="2">
        <v>33.11</v>
      </c>
      <c r="K565" s="9">
        <v>-23.52</v>
      </c>
      <c r="L565" s="9">
        <v>-33.57</v>
      </c>
      <c r="M565" s="9">
        <v>-15.32</v>
      </c>
      <c r="N565" s="2">
        <v>15.45</v>
      </c>
      <c r="O565" s="2">
        <v>23.15</v>
      </c>
      <c r="P565" s="2">
        <v>76.569999999999993</v>
      </c>
      <c r="Q565" s="2">
        <v>43.8</v>
      </c>
      <c r="R565" s="9">
        <v>-0.61</v>
      </c>
      <c r="S565" s="2">
        <v>13.77</v>
      </c>
      <c r="T565" s="2">
        <v>11.01</v>
      </c>
      <c r="U565" s="2">
        <v>11.63</v>
      </c>
      <c r="W565" s="35" t="s">
        <v>197</v>
      </c>
      <c r="X565" s="35">
        <v>25.2</v>
      </c>
    </row>
    <row r="566" spans="1:24" x14ac:dyDescent="0.2">
      <c r="A566" s="6" t="s">
        <v>199</v>
      </c>
      <c r="B566" s="6">
        <v>11.79</v>
      </c>
      <c r="C566" s="6">
        <v>18.05</v>
      </c>
      <c r="D566" s="6">
        <v>14.19</v>
      </c>
      <c r="E566" s="6">
        <v>15.18</v>
      </c>
      <c r="F566" s="6">
        <v>22.97</v>
      </c>
      <c r="G566" s="6">
        <v>18.93</v>
      </c>
      <c r="H566" s="6">
        <v>17.54</v>
      </c>
      <c r="I566" s="6">
        <v>14.57</v>
      </c>
      <c r="J566" s="6">
        <v>14.97</v>
      </c>
      <c r="K566" s="6">
        <v>10.42</v>
      </c>
      <c r="L566" s="6">
        <v>10.95</v>
      </c>
      <c r="M566" s="6">
        <v>10.11</v>
      </c>
      <c r="N566" s="6">
        <v>13.06</v>
      </c>
      <c r="O566" s="6">
        <v>11.79</v>
      </c>
      <c r="P566" s="6">
        <v>24.53</v>
      </c>
      <c r="Q566" s="6">
        <v>18.71</v>
      </c>
      <c r="R566" s="6">
        <v>19.12</v>
      </c>
      <c r="S566" s="6">
        <v>18.05</v>
      </c>
      <c r="T566" s="6">
        <v>19.149999999999999</v>
      </c>
      <c r="U566" s="6">
        <v>13.03</v>
      </c>
      <c r="W566" s="33" t="s">
        <v>198</v>
      </c>
      <c r="X566" s="33">
        <v>23.6</v>
      </c>
    </row>
    <row r="567" spans="1:24" x14ac:dyDescent="0.2">
      <c r="A567" s="11" t="s">
        <v>201</v>
      </c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W567" s="35" t="s">
        <v>202</v>
      </c>
      <c r="X567" s="35">
        <v>0.3</v>
      </c>
    </row>
    <row r="568" spans="1:24" x14ac:dyDescent="0.2">
      <c r="A568" s="7" t="s">
        <v>121</v>
      </c>
      <c r="B568" s="8">
        <v>1264.4000000000001</v>
      </c>
      <c r="C568" s="7">
        <v>730.1</v>
      </c>
      <c r="D568" s="7">
        <v>721.2</v>
      </c>
      <c r="E568" s="7">
        <v>483.2</v>
      </c>
      <c r="F568" s="7">
        <v>472.4</v>
      </c>
      <c r="G568" s="7">
        <v>315.60000000000002</v>
      </c>
      <c r="H568" s="7">
        <v>309.39999999999998</v>
      </c>
      <c r="I568" s="7">
        <v>129.80000000000001</v>
      </c>
      <c r="J568" s="7">
        <v>147.19999999999999</v>
      </c>
      <c r="K568" s="7">
        <v>95</v>
      </c>
      <c r="L568" s="8">
        <v>1266.7</v>
      </c>
      <c r="M568" s="8">
        <v>1266.0999999999999</v>
      </c>
      <c r="N568" s="8">
        <v>1264.8</v>
      </c>
      <c r="O568" s="8">
        <v>1264.4000000000001</v>
      </c>
      <c r="P568" s="7">
        <v>774.1</v>
      </c>
      <c r="Q568" s="7">
        <v>767.2</v>
      </c>
      <c r="R568" s="7">
        <v>712.8</v>
      </c>
      <c r="S568" s="7">
        <v>730.1</v>
      </c>
      <c r="T568" s="7">
        <v>711.9</v>
      </c>
      <c r="U568" s="7">
        <v>711.4</v>
      </c>
      <c r="W568" s="33" t="s">
        <v>203</v>
      </c>
      <c r="X568" s="40">
        <v>-0.3</v>
      </c>
    </row>
    <row r="569" spans="1:24" x14ac:dyDescent="0.2">
      <c r="A569" s="2" t="s">
        <v>299</v>
      </c>
      <c r="B569" s="10">
        <v>1206.2</v>
      </c>
      <c r="C569" s="2">
        <v>712.3</v>
      </c>
      <c r="D569" s="2">
        <v>706.8</v>
      </c>
      <c r="E569" s="2">
        <v>469.4</v>
      </c>
      <c r="F569" s="2">
        <v>466.9</v>
      </c>
      <c r="G569" s="2">
        <v>307.7</v>
      </c>
      <c r="H569" s="2">
        <v>309.39999999999998</v>
      </c>
      <c r="I569" s="2">
        <v>129.80000000000001</v>
      </c>
      <c r="J569" s="2">
        <v>147.19999999999999</v>
      </c>
      <c r="K569" s="2">
        <v>95</v>
      </c>
      <c r="L569" s="10">
        <v>1208.4000000000001</v>
      </c>
      <c r="M569" s="10">
        <v>1207.5999999999999</v>
      </c>
      <c r="N569" s="10">
        <v>1206.9000000000001</v>
      </c>
      <c r="O569" s="10">
        <v>1206.2</v>
      </c>
      <c r="P569" s="2">
        <v>713.7</v>
      </c>
      <c r="Q569" s="2">
        <v>713.3</v>
      </c>
      <c r="R569" s="2">
        <v>712.8</v>
      </c>
      <c r="S569" s="2">
        <v>712.3</v>
      </c>
      <c r="T569" s="2">
        <v>711.9</v>
      </c>
      <c r="U569" s="2">
        <v>711.4</v>
      </c>
      <c r="W569" s="35" t="s">
        <v>205</v>
      </c>
      <c r="X569" s="35">
        <v>23.8</v>
      </c>
    </row>
    <row r="570" spans="1:24" x14ac:dyDescent="0.2">
      <c r="A570" s="6" t="s">
        <v>204</v>
      </c>
      <c r="B570" s="6">
        <v>58.2</v>
      </c>
      <c r="C570" s="6">
        <v>17.8</v>
      </c>
      <c r="D570" s="6">
        <v>14.3</v>
      </c>
      <c r="E570" s="6">
        <v>13.8</v>
      </c>
      <c r="F570" s="6">
        <v>5.5</v>
      </c>
      <c r="G570" s="6">
        <v>8</v>
      </c>
      <c r="H570" s="6">
        <v>0</v>
      </c>
      <c r="I570" s="6">
        <v>0</v>
      </c>
      <c r="J570" s="6">
        <v>0</v>
      </c>
      <c r="K570" s="6">
        <v>0</v>
      </c>
      <c r="L570" s="6">
        <v>58.3</v>
      </c>
      <c r="M570" s="6">
        <v>58.5</v>
      </c>
      <c r="N570" s="6">
        <v>57.9</v>
      </c>
      <c r="O570" s="6">
        <v>58.2</v>
      </c>
      <c r="P570" s="6">
        <v>60.4</v>
      </c>
      <c r="Q570" s="6">
        <v>53.9</v>
      </c>
      <c r="R570" s="6">
        <v>0</v>
      </c>
      <c r="S570" s="6">
        <v>17.8</v>
      </c>
      <c r="T570" s="6">
        <v>0</v>
      </c>
      <c r="U570" s="6">
        <v>0</v>
      </c>
      <c r="W570" s="37" t="s">
        <v>209</v>
      </c>
      <c r="X570" s="33"/>
    </row>
    <row r="571" spans="1:24" x14ac:dyDescent="0.2">
      <c r="A571" s="2" t="s">
        <v>206</v>
      </c>
      <c r="B571" s="2">
        <v>26.6</v>
      </c>
      <c r="C571" s="2">
        <v>19.399999999999999</v>
      </c>
      <c r="D571" s="2">
        <v>19.7</v>
      </c>
      <c r="E571" s="2">
        <v>19.600000000000001</v>
      </c>
      <c r="F571" s="2">
        <v>12.7</v>
      </c>
      <c r="G571" s="2">
        <v>12.3</v>
      </c>
      <c r="H571" s="2">
        <v>6.4</v>
      </c>
      <c r="I571" s="2">
        <v>5.5</v>
      </c>
      <c r="J571" s="2">
        <v>12.3</v>
      </c>
      <c r="K571" s="2">
        <v>13</v>
      </c>
      <c r="L571" s="2">
        <v>31.2</v>
      </c>
      <c r="M571" s="2">
        <v>13.8</v>
      </c>
      <c r="N571" s="2">
        <v>14.4</v>
      </c>
      <c r="O571" s="2">
        <v>26.6</v>
      </c>
      <c r="P571" s="2">
        <v>2.1</v>
      </c>
      <c r="Q571" s="2">
        <v>4.5999999999999996</v>
      </c>
      <c r="R571" s="2">
        <v>5.6</v>
      </c>
      <c r="S571" s="2">
        <v>19.399999999999999</v>
      </c>
      <c r="T571" s="2">
        <v>3</v>
      </c>
      <c r="U571" s="2">
        <v>3.2</v>
      </c>
      <c r="W571" s="37" t="s">
        <v>211</v>
      </c>
      <c r="X571" s="33"/>
    </row>
    <row r="572" spans="1:24" x14ac:dyDescent="0.2">
      <c r="A572" s="7" t="s">
        <v>208</v>
      </c>
      <c r="B572" s="7">
        <v>38.9</v>
      </c>
      <c r="C572" s="7">
        <v>30.3</v>
      </c>
      <c r="D572" s="7">
        <v>27.3</v>
      </c>
      <c r="E572" s="7">
        <v>28.4</v>
      </c>
      <c r="F572" s="7">
        <v>25.5</v>
      </c>
      <c r="G572" s="7">
        <v>22.5</v>
      </c>
      <c r="H572" s="7">
        <v>23.9</v>
      </c>
      <c r="I572" s="7">
        <v>23.4</v>
      </c>
      <c r="J572" s="7">
        <v>10.199999999999999</v>
      </c>
      <c r="K572" s="7">
        <v>9.6999999999999993</v>
      </c>
      <c r="L572" s="7">
        <v>46.8</v>
      </c>
      <c r="M572" s="7">
        <v>42.8</v>
      </c>
      <c r="N572" s="7">
        <v>41.6</v>
      </c>
      <c r="O572" s="7">
        <v>38.9</v>
      </c>
      <c r="P572" s="7">
        <v>37.1</v>
      </c>
      <c r="Q572" s="7">
        <v>33</v>
      </c>
      <c r="R572" s="7">
        <v>49.4</v>
      </c>
      <c r="S572" s="7">
        <v>30.3</v>
      </c>
      <c r="T572" s="7">
        <v>44.9</v>
      </c>
      <c r="U572" s="7">
        <v>43.2</v>
      </c>
    </row>
    <row r="573" spans="1:24" x14ac:dyDescent="0.2">
      <c r="A573" s="2" t="s">
        <v>210</v>
      </c>
      <c r="B573" s="2">
        <v>0.1</v>
      </c>
      <c r="C573" s="2">
        <v>0.2</v>
      </c>
      <c r="D573" s="2">
        <v>0.2</v>
      </c>
      <c r="E573" s="2">
        <v>0.4</v>
      </c>
      <c r="F573" s="2">
        <v>0.6</v>
      </c>
      <c r="G573" s="2">
        <v>0.1</v>
      </c>
      <c r="H573" s="2">
        <v>2</v>
      </c>
      <c r="I573" s="2">
        <v>2.1</v>
      </c>
      <c r="J573" s="2">
        <v>2.2999999999999998</v>
      </c>
      <c r="K573" s="2">
        <v>2.1</v>
      </c>
      <c r="L573" s="2">
        <v>0.1</v>
      </c>
      <c r="M573" s="2">
        <v>0.1</v>
      </c>
      <c r="N573" s="2">
        <v>0.1</v>
      </c>
      <c r="O573" s="2">
        <v>0.1</v>
      </c>
      <c r="P573" s="2">
        <v>0.1</v>
      </c>
      <c r="Q573" s="2">
        <v>0.1</v>
      </c>
      <c r="R573" s="2">
        <v>17.8</v>
      </c>
      <c r="S573" s="2">
        <v>0.2</v>
      </c>
      <c r="T573" s="2">
        <v>16.2</v>
      </c>
      <c r="U573" s="2">
        <v>14.9</v>
      </c>
    </row>
    <row r="574" spans="1:24" x14ac:dyDescent="0.2">
      <c r="A574" s="6" t="s">
        <v>300</v>
      </c>
      <c r="B574" s="6">
        <v>38.9</v>
      </c>
      <c r="C574" s="6">
        <v>30.1</v>
      </c>
      <c r="D574" s="6">
        <v>27.1</v>
      </c>
      <c r="E574" s="6">
        <v>28</v>
      </c>
      <c r="F574" s="6">
        <v>25</v>
      </c>
      <c r="G574" s="6">
        <v>22.3</v>
      </c>
      <c r="H574" s="6">
        <v>21.9</v>
      </c>
      <c r="I574" s="6">
        <v>21.2</v>
      </c>
      <c r="J574" s="6">
        <v>7.9</v>
      </c>
      <c r="K574" s="6">
        <v>7.6</v>
      </c>
      <c r="L574" s="6">
        <v>46.7</v>
      </c>
      <c r="M574" s="6">
        <v>42.7</v>
      </c>
      <c r="N574" s="6">
        <v>41.5</v>
      </c>
      <c r="O574" s="6">
        <v>38.9</v>
      </c>
      <c r="P574" s="6">
        <v>37</v>
      </c>
      <c r="Q574" s="6">
        <v>32.9</v>
      </c>
      <c r="R574" s="6">
        <v>31.5</v>
      </c>
      <c r="S574" s="6">
        <v>30.1</v>
      </c>
      <c r="T574" s="6">
        <v>28.8</v>
      </c>
      <c r="U574" s="6">
        <v>28.3</v>
      </c>
    </row>
    <row r="575" spans="1:24" x14ac:dyDescent="0.2">
      <c r="A575" s="11" t="s">
        <v>212</v>
      </c>
      <c r="B575" s="12">
        <v>1417.3</v>
      </c>
      <c r="C575" s="11">
        <v>850.8</v>
      </c>
      <c r="D575" s="11">
        <v>830.6</v>
      </c>
      <c r="E575" s="11">
        <v>570.9</v>
      </c>
      <c r="F575" s="11">
        <v>561.1</v>
      </c>
      <c r="G575" s="11">
        <v>383.3</v>
      </c>
      <c r="H575" s="11">
        <v>366.1</v>
      </c>
      <c r="I575" s="11">
        <v>177.9</v>
      </c>
      <c r="J575" s="11">
        <v>186.4</v>
      </c>
      <c r="K575" s="11">
        <v>130.30000000000001</v>
      </c>
      <c r="L575" s="12">
        <v>1423.6</v>
      </c>
      <c r="M575" s="12">
        <v>1394.3</v>
      </c>
      <c r="N575" s="12">
        <v>1411.8</v>
      </c>
      <c r="O575" s="12">
        <v>1417.3</v>
      </c>
      <c r="P575" s="11">
        <v>932.2</v>
      </c>
      <c r="Q575" s="11">
        <v>889.4</v>
      </c>
      <c r="R575" s="11">
        <v>846.6</v>
      </c>
      <c r="S575" s="11">
        <v>850.8</v>
      </c>
      <c r="T575" s="11">
        <v>827.1</v>
      </c>
      <c r="U575" s="11">
        <v>816.6</v>
      </c>
    </row>
    <row r="576" spans="1:24" x14ac:dyDescent="0.2">
      <c r="A576" s="6" t="s">
        <v>35</v>
      </c>
      <c r="B576" s="6">
        <v>66.58</v>
      </c>
      <c r="C576" s="6">
        <v>2.44</v>
      </c>
      <c r="D576" s="6">
        <v>45.48</v>
      </c>
      <c r="E576" s="6">
        <v>1.76</v>
      </c>
      <c r="F576" s="6">
        <v>46.36</v>
      </c>
      <c r="G576" s="6">
        <v>4.72</v>
      </c>
      <c r="H576" s="6">
        <v>105.82</v>
      </c>
      <c r="I576" s="13">
        <v>-4.5999999999999996</v>
      </c>
      <c r="J576" s="6">
        <v>43.05</v>
      </c>
      <c r="K576" s="13">
        <v>-2.52</v>
      </c>
      <c r="L576" s="6">
        <v>52.71</v>
      </c>
      <c r="M576" s="6">
        <v>56.77</v>
      </c>
      <c r="N576" s="6">
        <v>66.75</v>
      </c>
      <c r="O576" s="6">
        <v>66.58</v>
      </c>
      <c r="P576" s="6">
        <v>12.71</v>
      </c>
      <c r="Q576" s="6">
        <v>8.91</v>
      </c>
      <c r="R576" s="6">
        <v>1.87</v>
      </c>
      <c r="S576" s="6">
        <v>2.44</v>
      </c>
      <c r="T576" s="6">
        <v>1.1599999999999999</v>
      </c>
      <c r="U576" s="6">
        <v>0.71</v>
      </c>
    </row>
    <row r="577" spans="1:21" x14ac:dyDescent="0.2">
      <c r="A577" s="2" t="s">
        <v>213</v>
      </c>
      <c r="B577" s="2">
        <v>191.08</v>
      </c>
      <c r="C577" s="2">
        <v>216.24</v>
      </c>
      <c r="D577" s="2">
        <v>188.89</v>
      </c>
      <c r="E577" s="2">
        <v>218.41</v>
      </c>
      <c r="F577" s="2">
        <v>255.32</v>
      </c>
      <c r="G577" s="2">
        <v>220.42</v>
      </c>
      <c r="H577" s="2">
        <v>242.48</v>
      </c>
      <c r="I577" s="2">
        <v>135.47999999999999</v>
      </c>
      <c r="J577" s="2">
        <v>166.75</v>
      </c>
      <c r="K577" s="2">
        <v>108.02</v>
      </c>
      <c r="L577" s="2">
        <v>197.45</v>
      </c>
      <c r="M577" s="2">
        <v>196.85</v>
      </c>
      <c r="N577" s="2">
        <v>202.61</v>
      </c>
      <c r="O577" s="2">
        <v>191.08</v>
      </c>
      <c r="P577" s="2">
        <v>192.31</v>
      </c>
      <c r="Q577" s="2">
        <v>196.84</v>
      </c>
      <c r="R577" s="2">
        <v>205.37</v>
      </c>
      <c r="S577" s="2">
        <v>216.24</v>
      </c>
      <c r="T577" s="2">
        <v>235.19</v>
      </c>
      <c r="U577" s="2">
        <v>180.97</v>
      </c>
    </row>
    <row r="578" spans="1:21" x14ac:dyDescent="0.2">
      <c r="A578" s="7" t="s">
        <v>214</v>
      </c>
      <c r="B578" s="7" t="s">
        <v>1</v>
      </c>
      <c r="C578" s="7" t="s">
        <v>1</v>
      </c>
      <c r="D578" s="7" t="s">
        <v>1</v>
      </c>
      <c r="E578" s="7" t="s">
        <v>1</v>
      </c>
      <c r="F578" s="7" t="s">
        <v>1</v>
      </c>
      <c r="G578" s="7" t="s">
        <v>1</v>
      </c>
      <c r="H578" s="7" t="s">
        <v>1</v>
      </c>
      <c r="I578" s="7" t="s">
        <v>1</v>
      </c>
      <c r="J578" s="7" t="s">
        <v>1</v>
      </c>
      <c r="K578" s="7" t="s">
        <v>1</v>
      </c>
      <c r="L578" s="7" t="s">
        <v>1</v>
      </c>
      <c r="M578" s="7" t="s">
        <v>1</v>
      </c>
      <c r="N578" s="7" t="s">
        <v>1</v>
      </c>
      <c r="O578" s="7" t="s">
        <v>1</v>
      </c>
      <c r="P578" s="7" t="s">
        <v>1</v>
      </c>
      <c r="Q578" s="7" t="s">
        <v>1</v>
      </c>
      <c r="R578" s="7" t="s">
        <v>1</v>
      </c>
      <c r="S578" s="7" t="s">
        <v>1</v>
      </c>
      <c r="T578" s="7" t="s">
        <v>1</v>
      </c>
      <c r="U578" s="7" t="s">
        <v>1</v>
      </c>
    </row>
    <row r="579" spans="1:21" x14ac:dyDescent="0.2">
      <c r="A579" s="11" t="s">
        <v>215</v>
      </c>
      <c r="B579" s="11">
        <v>-675.6</v>
      </c>
      <c r="C579" s="11">
        <v>-457.4</v>
      </c>
      <c r="D579" s="11">
        <v>-390.9</v>
      </c>
      <c r="E579" s="11">
        <v>-309.5</v>
      </c>
      <c r="F579" s="11">
        <v>-341.3</v>
      </c>
      <c r="G579" s="11">
        <v>-209.4</v>
      </c>
      <c r="H579" s="11">
        <v>-224.8</v>
      </c>
      <c r="I579" s="11">
        <v>-58.4</v>
      </c>
      <c r="J579" s="11">
        <v>-74.599999999999994</v>
      </c>
      <c r="K579" s="11">
        <v>-9.6999999999999993</v>
      </c>
      <c r="L579" s="11">
        <v>-702.6</v>
      </c>
      <c r="M579" s="11">
        <v>-686</v>
      </c>
      <c r="N579" s="11">
        <v>-715</v>
      </c>
      <c r="O579" s="11">
        <v>-675.6</v>
      </c>
      <c r="P579" s="11">
        <v>-447.5</v>
      </c>
      <c r="Q579" s="11">
        <v>-437.5</v>
      </c>
      <c r="R579" s="11">
        <v>-434.4</v>
      </c>
      <c r="S579" s="11">
        <v>-457.4</v>
      </c>
      <c r="T579" s="11">
        <v>-475.4</v>
      </c>
      <c r="U579" s="11">
        <v>-365.4</v>
      </c>
    </row>
    <row r="580" spans="1:21" x14ac:dyDescent="0.2">
      <c r="A580" s="6" t="s">
        <v>216</v>
      </c>
      <c r="B580" s="6">
        <v>0.3</v>
      </c>
      <c r="C580" s="6">
        <v>0.3</v>
      </c>
      <c r="D580" s="6">
        <v>0.3</v>
      </c>
      <c r="E580" s="6">
        <v>0.3</v>
      </c>
      <c r="F580" s="6">
        <v>0.3</v>
      </c>
      <c r="G580" s="6">
        <v>0.3</v>
      </c>
      <c r="H580" s="6">
        <v>0.3</v>
      </c>
      <c r="I580" s="6">
        <v>0.3</v>
      </c>
      <c r="J580" s="6">
        <v>0.3</v>
      </c>
      <c r="K580" s="6">
        <v>0.3</v>
      </c>
      <c r="L580" s="6">
        <v>0.3</v>
      </c>
      <c r="M580" s="6">
        <v>0.3</v>
      </c>
      <c r="N580" s="6">
        <v>0.3</v>
      </c>
      <c r="O580" s="6">
        <v>0.3</v>
      </c>
      <c r="P580" s="6">
        <v>0.3</v>
      </c>
      <c r="Q580" s="6">
        <v>0.3</v>
      </c>
      <c r="R580" s="6">
        <v>0.3</v>
      </c>
      <c r="S580" s="6">
        <v>0.3</v>
      </c>
      <c r="T580" s="6">
        <v>0.3</v>
      </c>
      <c r="U580" s="6">
        <v>0.3</v>
      </c>
    </row>
    <row r="581" spans="1:21" x14ac:dyDescent="0.2">
      <c r="A581" s="2" t="s">
        <v>217</v>
      </c>
      <c r="B581" s="2">
        <v>1.6</v>
      </c>
      <c r="C581" s="2">
        <v>2.7</v>
      </c>
      <c r="D581" s="2">
        <v>2.8</v>
      </c>
      <c r="E581" s="2">
        <v>0.5</v>
      </c>
      <c r="F581" s="2">
        <v>0.4</v>
      </c>
      <c r="G581" s="2">
        <v>0.6</v>
      </c>
      <c r="H581" s="2">
        <v>1</v>
      </c>
      <c r="I581" s="2">
        <v>0.3</v>
      </c>
      <c r="J581" s="2">
        <v>1.2</v>
      </c>
      <c r="K581" s="2">
        <v>36.9</v>
      </c>
      <c r="L581" s="2">
        <v>1.1000000000000001</v>
      </c>
      <c r="M581" s="2">
        <v>3.8</v>
      </c>
      <c r="N581" s="2">
        <v>1.3</v>
      </c>
      <c r="O581" s="2">
        <v>1.6</v>
      </c>
      <c r="P581" s="2">
        <v>1.5</v>
      </c>
      <c r="Q581" s="2">
        <v>1.9</v>
      </c>
      <c r="R581" s="2">
        <v>0.9</v>
      </c>
      <c r="S581" s="2">
        <v>2.7</v>
      </c>
      <c r="T581" s="2">
        <v>1.2</v>
      </c>
      <c r="U581" s="2">
        <v>2</v>
      </c>
    </row>
    <row r="582" spans="1:21" x14ac:dyDescent="0.2">
      <c r="A582" s="6" t="s">
        <v>218</v>
      </c>
      <c r="B582" s="13">
        <v>-676.9</v>
      </c>
      <c r="C582" s="13">
        <v>-460</v>
      </c>
      <c r="D582" s="13">
        <v>-393.3</v>
      </c>
      <c r="E582" s="13">
        <v>-310</v>
      </c>
      <c r="F582" s="13">
        <v>-342</v>
      </c>
      <c r="G582" s="13">
        <v>-210.3</v>
      </c>
      <c r="H582" s="13">
        <v>-226.2</v>
      </c>
      <c r="I582" s="13">
        <v>-59</v>
      </c>
      <c r="J582" s="13">
        <v>-76.099999999999994</v>
      </c>
      <c r="K582" s="13">
        <v>-46.8</v>
      </c>
      <c r="L582" s="13">
        <v>-709.7</v>
      </c>
      <c r="M582" s="13">
        <v>-697.6</v>
      </c>
      <c r="N582" s="13">
        <v>-719.3</v>
      </c>
      <c r="O582" s="13">
        <v>-676.9</v>
      </c>
      <c r="P582" s="13">
        <v>-449.3</v>
      </c>
      <c r="Q582" s="13">
        <v>-439.3</v>
      </c>
      <c r="R582" s="13">
        <v>-435.2</v>
      </c>
      <c r="S582" s="13">
        <v>-460</v>
      </c>
      <c r="T582" s="13">
        <v>-476.4</v>
      </c>
      <c r="U582" s="13">
        <v>-367.3</v>
      </c>
    </row>
    <row r="583" spans="1:21" x14ac:dyDescent="0.2">
      <c r="A583" s="2" t="s">
        <v>219</v>
      </c>
      <c r="B583" s="9">
        <v>-0.5</v>
      </c>
      <c r="C583" s="9">
        <v>-0.3</v>
      </c>
      <c r="D583" s="9">
        <v>-0.6</v>
      </c>
      <c r="E583" s="9">
        <v>-0.3</v>
      </c>
      <c r="F583" s="15" t="s">
        <v>59</v>
      </c>
      <c r="G583" s="15" t="s">
        <v>59</v>
      </c>
      <c r="H583" s="15" t="s">
        <v>59</v>
      </c>
      <c r="I583" s="15" t="s">
        <v>59</v>
      </c>
      <c r="J583" s="15" t="s">
        <v>59</v>
      </c>
      <c r="K583" s="15" t="s">
        <v>59</v>
      </c>
      <c r="L583" s="2">
        <v>5.7</v>
      </c>
      <c r="M583" s="2">
        <v>7.5</v>
      </c>
      <c r="N583" s="2">
        <v>2.8</v>
      </c>
      <c r="O583" s="9">
        <v>-0.5</v>
      </c>
      <c r="P583" s="2">
        <v>0.1</v>
      </c>
      <c r="Q583" s="9">
        <v>-0.4</v>
      </c>
      <c r="R583" s="9">
        <v>-0.4</v>
      </c>
      <c r="S583" s="9">
        <v>-0.3</v>
      </c>
      <c r="T583" s="9">
        <v>-0.6</v>
      </c>
      <c r="U583" s="9">
        <v>-0.4</v>
      </c>
    </row>
    <row r="584" spans="1:21" x14ac:dyDescent="0.2">
      <c r="A584" s="7" t="s">
        <v>222</v>
      </c>
      <c r="B584" s="7">
        <v>-675.6</v>
      </c>
      <c r="C584" s="7">
        <v>-457.4</v>
      </c>
      <c r="D584" s="7">
        <v>-390.9</v>
      </c>
      <c r="E584" s="7">
        <v>-309.5</v>
      </c>
      <c r="F584" s="7">
        <v>-341.3</v>
      </c>
      <c r="G584" s="7">
        <v>-209.4</v>
      </c>
      <c r="H584" s="7">
        <v>-224.8</v>
      </c>
      <c r="I584" s="7">
        <v>-58.4</v>
      </c>
      <c r="J584" s="7">
        <v>-74.599999999999994</v>
      </c>
      <c r="K584" s="7">
        <v>-9.6999999999999993</v>
      </c>
      <c r="L584" s="7">
        <v>-702.6</v>
      </c>
      <c r="M584" s="7">
        <v>-686</v>
      </c>
      <c r="N584" s="7">
        <v>-715</v>
      </c>
      <c r="O584" s="7">
        <v>-675.6</v>
      </c>
      <c r="P584" s="7">
        <v>-447.5</v>
      </c>
      <c r="Q584" s="7">
        <v>-437.5</v>
      </c>
      <c r="R584" s="7">
        <v>-434.4</v>
      </c>
      <c r="S584" s="7">
        <v>-457.4</v>
      </c>
      <c r="T584" s="7">
        <v>-475.4</v>
      </c>
      <c r="U584" s="7">
        <v>-365.4</v>
      </c>
    </row>
    <row r="585" spans="1:21" x14ac:dyDescent="0.2">
      <c r="A585" s="2" t="s">
        <v>35</v>
      </c>
      <c r="B585" s="9">
        <v>-47.71</v>
      </c>
      <c r="C585" s="9">
        <v>-17.02</v>
      </c>
      <c r="D585" s="9">
        <v>-26.28</v>
      </c>
      <c r="E585" s="2">
        <v>9.31</v>
      </c>
      <c r="F585" s="9">
        <v>-62.97</v>
      </c>
      <c r="G585" s="2">
        <v>6.85</v>
      </c>
      <c r="H585" s="9">
        <v>-284.86</v>
      </c>
      <c r="I585" s="2">
        <v>21.72</v>
      </c>
      <c r="J585" s="9">
        <v>-671.51</v>
      </c>
      <c r="K585" s="9">
        <v>-7.55</v>
      </c>
      <c r="L585" s="9">
        <v>-57.02</v>
      </c>
      <c r="M585" s="9">
        <v>-56.78</v>
      </c>
      <c r="N585" s="9">
        <v>-64.599999999999994</v>
      </c>
      <c r="O585" s="9">
        <v>-47.71</v>
      </c>
      <c r="P585" s="2">
        <v>5.88</v>
      </c>
      <c r="Q585" s="9">
        <v>-19.760000000000002</v>
      </c>
      <c r="R585" s="9">
        <v>-14.37</v>
      </c>
      <c r="S585" s="9">
        <v>-17.02</v>
      </c>
      <c r="T585" s="9">
        <v>-16.93</v>
      </c>
      <c r="U585" s="2">
        <v>12.06</v>
      </c>
    </row>
    <row r="586" spans="1:21" x14ac:dyDescent="0.2">
      <c r="A586" s="6" t="s">
        <v>223</v>
      </c>
      <c r="B586" s="13">
        <v>-91.08</v>
      </c>
      <c r="C586" s="13">
        <v>-116.24</v>
      </c>
      <c r="D586" s="13">
        <v>-88.89</v>
      </c>
      <c r="E586" s="13">
        <v>-118.41</v>
      </c>
      <c r="F586" s="13">
        <v>-155.32</v>
      </c>
      <c r="G586" s="13">
        <v>-120.42</v>
      </c>
      <c r="H586" s="13">
        <v>-148.93</v>
      </c>
      <c r="I586" s="13">
        <v>-44.5</v>
      </c>
      <c r="J586" s="13">
        <v>-66.75</v>
      </c>
      <c r="K586" s="13">
        <v>-8.02</v>
      </c>
      <c r="L586" s="13">
        <v>-97.45</v>
      </c>
      <c r="M586" s="13">
        <v>-96.85</v>
      </c>
      <c r="N586" s="13">
        <v>-102.61</v>
      </c>
      <c r="O586" s="13">
        <v>-91.08</v>
      </c>
      <c r="P586" s="13">
        <v>-92.31</v>
      </c>
      <c r="Q586" s="13">
        <v>-96.84</v>
      </c>
      <c r="R586" s="13">
        <v>-105.37</v>
      </c>
      <c r="S586" s="13">
        <v>-116.24</v>
      </c>
      <c r="T586" s="13">
        <v>-135.19</v>
      </c>
      <c r="U586" s="13">
        <v>-80.97</v>
      </c>
    </row>
    <row r="587" spans="1:21" x14ac:dyDescent="0.2">
      <c r="A587" s="11" t="s">
        <v>224</v>
      </c>
      <c r="B587" s="11">
        <v>-675.6</v>
      </c>
      <c r="C587" s="11">
        <v>-457.4</v>
      </c>
      <c r="D587" s="11">
        <v>-390.9</v>
      </c>
      <c r="E587" s="11">
        <v>-309.5</v>
      </c>
      <c r="F587" s="11">
        <v>-341.3</v>
      </c>
      <c r="G587" s="11">
        <v>-209.4</v>
      </c>
      <c r="H587" s="11">
        <v>-224.8</v>
      </c>
      <c r="I587" s="11">
        <v>-58.4</v>
      </c>
      <c r="J587" s="11">
        <v>-74.599999999999994</v>
      </c>
      <c r="K587" s="11">
        <v>-9.6999999999999993</v>
      </c>
      <c r="L587" s="11">
        <v>-702.6</v>
      </c>
      <c r="M587" s="11">
        <v>-686</v>
      </c>
      <c r="N587" s="11">
        <v>-715</v>
      </c>
      <c r="O587" s="11">
        <v>-675.6</v>
      </c>
      <c r="P587" s="11">
        <v>-447.5</v>
      </c>
      <c r="Q587" s="11">
        <v>-437.5</v>
      </c>
      <c r="R587" s="11">
        <v>-434.4</v>
      </c>
      <c r="S587" s="11">
        <v>-457.4</v>
      </c>
      <c r="T587" s="11">
        <v>-475.4</v>
      </c>
      <c r="U587" s="11">
        <v>-365.4</v>
      </c>
    </row>
    <row r="588" spans="1:21" x14ac:dyDescent="0.2">
      <c r="A588" s="6" t="s">
        <v>35</v>
      </c>
      <c r="B588" s="13">
        <v>-47.71</v>
      </c>
      <c r="C588" s="13">
        <v>-17.02</v>
      </c>
      <c r="D588" s="13">
        <v>-26.28</v>
      </c>
      <c r="E588" s="6">
        <v>9.31</v>
      </c>
      <c r="F588" s="13">
        <v>-62.97</v>
      </c>
      <c r="G588" s="6">
        <v>6.85</v>
      </c>
      <c r="H588" s="13">
        <v>-284.86</v>
      </c>
      <c r="I588" s="6">
        <v>21.72</v>
      </c>
      <c r="J588" s="13">
        <v>-671.51</v>
      </c>
      <c r="K588" s="13">
        <v>-7.55</v>
      </c>
      <c r="L588" s="13">
        <v>-57.02</v>
      </c>
      <c r="M588" s="13">
        <v>-56.78</v>
      </c>
      <c r="N588" s="13">
        <v>-64.599999999999994</v>
      </c>
      <c r="O588" s="13">
        <v>-47.71</v>
      </c>
      <c r="P588" s="6">
        <v>5.88</v>
      </c>
      <c r="Q588" s="13">
        <v>-19.760000000000002</v>
      </c>
      <c r="R588" s="13">
        <v>-14.37</v>
      </c>
      <c r="S588" s="13">
        <v>-17.02</v>
      </c>
      <c r="T588" s="13">
        <v>-16.93</v>
      </c>
      <c r="U588" s="6">
        <v>12.06</v>
      </c>
    </row>
    <row r="589" spans="1:21" x14ac:dyDescent="0.2">
      <c r="A589" s="2" t="s">
        <v>225</v>
      </c>
      <c r="B589" s="9">
        <v>-91.08</v>
      </c>
      <c r="C589" s="9">
        <v>-116.24</v>
      </c>
      <c r="D589" s="9">
        <v>-88.89</v>
      </c>
      <c r="E589" s="9">
        <v>-118.41</v>
      </c>
      <c r="F589" s="9">
        <v>-155.32</v>
      </c>
      <c r="G589" s="9">
        <v>-120.42</v>
      </c>
      <c r="H589" s="9">
        <v>-148.93</v>
      </c>
      <c r="I589" s="9">
        <v>-44.5</v>
      </c>
      <c r="J589" s="9">
        <v>-66.75</v>
      </c>
      <c r="K589" s="9">
        <v>-8.02</v>
      </c>
      <c r="L589" s="9">
        <v>-97.45</v>
      </c>
      <c r="M589" s="9">
        <v>-96.85</v>
      </c>
      <c r="N589" s="9">
        <v>-102.61</v>
      </c>
      <c r="O589" s="9">
        <v>-91.08</v>
      </c>
      <c r="P589" s="9">
        <v>-92.31</v>
      </c>
      <c r="Q589" s="9">
        <v>-96.84</v>
      </c>
      <c r="R589" s="9">
        <v>-105.37</v>
      </c>
      <c r="S589" s="9">
        <v>-116.24</v>
      </c>
      <c r="T589" s="9">
        <v>-135.19</v>
      </c>
      <c r="U589" s="9">
        <v>-80.97</v>
      </c>
    </row>
    <row r="590" spans="1:21" x14ac:dyDescent="0.2">
      <c r="A590" s="7" t="s">
        <v>226</v>
      </c>
      <c r="B590" s="7">
        <v>741.7</v>
      </c>
      <c r="C590" s="7">
        <v>393.5</v>
      </c>
      <c r="D590" s="7">
        <v>439.7</v>
      </c>
      <c r="E590" s="7">
        <v>261.39999999999998</v>
      </c>
      <c r="F590" s="7">
        <v>219.7</v>
      </c>
      <c r="G590" s="7">
        <v>173.9</v>
      </c>
      <c r="H590" s="7">
        <v>141.19999999999999</v>
      </c>
      <c r="I590" s="7">
        <v>119.4</v>
      </c>
      <c r="J590" s="7">
        <v>111.8</v>
      </c>
      <c r="K590" s="7">
        <v>120.7</v>
      </c>
      <c r="L590" s="7">
        <v>721</v>
      </c>
      <c r="M590" s="7">
        <v>708.3</v>
      </c>
      <c r="N590" s="7">
        <v>696.8</v>
      </c>
      <c r="O590" s="7">
        <v>741.7</v>
      </c>
      <c r="P590" s="7">
        <v>484.8</v>
      </c>
      <c r="Q590" s="7">
        <v>451.8</v>
      </c>
      <c r="R590" s="7">
        <v>412.3</v>
      </c>
      <c r="S590" s="7">
        <v>393.5</v>
      </c>
      <c r="T590" s="7">
        <v>351.7</v>
      </c>
      <c r="U590" s="7">
        <v>451.2</v>
      </c>
    </row>
    <row r="591" spans="1:21" x14ac:dyDescent="0.2">
      <c r="A591" s="2" t="s">
        <v>35</v>
      </c>
      <c r="B591" s="2">
        <v>88.52</v>
      </c>
      <c r="C591" s="9">
        <v>-10.51</v>
      </c>
      <c r="D591" s="2">
        <v>68.209999999999994</v>
      </c>
      <c r="E591" s="2">
        <v>18.95</v>
      </c>
      <c r="F591" s="2">
        <v>26.35</v>
      </c>
      <c r="G591" s="2">
        <v>23.14</v>
      </c>
      <c r="H591" s="2">
        <v>18.25</v>
      </c>
      <c r="I591" s="2">
        <v>6.83</v>
      </c>
      <c r="J591" s="9">
        <v>-7.34</v>
      </c>
      <c r="K591" s="9">
        <v>-3.24</v>
      </c>
      <c r="L591" s="2">
        <v>48.74</v>
      </c>
      <c r="M591" s="2">
        <v>56.76</v>
      </c>
      <c r="N591" s="2">
        <v>69.02</v>
      </c>
      <c r="O591" s="2">
        <v>88.52</v>
      </c>
      <c r="P591" s="2">
        <v>37.840000000000003</v>
      </c>
      <c r="Q591" s="2">
        <v>0.13</v>
      </c>
      <c r="R591" s="9">
        <v>-8.65</v>
      </c>
      <c r="S591" s="9">
        <v>-10.51</v>
      </c>
      <c r="T591" s="9">
        <v>-14.44</v>
      </c>
      <c r="U591" s="2">
        <v>14.13</v>
      </c>
    </row>
    <row r="592" spans="1:21" x14ac:dyDescent="0.2">
      <c r="A592" s="6" t="s">
        <v>227</v>
      </c>
      <c r="B592" s="6">
        <v>100</v>
      </c>
      <c r="C592" s="6">
        <v>100</v>
      </c>
      <c r="D592" s="6">
        <v>100</v>
      </c>
      <c r="E592" s="6">
        <v>100</v>
      </c>
      <c r="F592" s="6">
        <v>100</v>
      </c>
      <c r="G592" s="6">
        <v>100</v>
      </c>
      <c r="H592" s="6">
        <v>93.55</v>
      </c>
      <c r="I592" s="6">
        <v>90.98</v>
      </c>
      <c r="J592" s="6">
        <v>100</v>
      </c>
      <c r="K592" s="6">
        <v>100</v>
      </c>
      <c r="L592" s="6">
        <v>100</v>
      </c>
      <c r="M592" s="6">
        <v>100</v>
      </c>
      <c r="N592" s="6">
        <v>100</v>
      </c>
      <c r="O592" s="6">
        <v>100</v>
      </c>
      <c r="P592" s="6">
        <v>100</v>
      </c>
      <c r="Q592" s="6">
        <v>100</v>
      </c>
      <c r="R592" s="6">
        <v>100</v>
      </c>
      <c r="S592" s="6">
        <v>100</v>
      </c>
      <c r="T592" s="6">
        <v>100</v>
      </c>
      <c r="U592" s="6">
        <v>100</v>
      </c>
    </row>
    <row r="593" spans="1:21" x14ac:dyDescent="0.2">
      <c r="A593" s="11" t="s">
        <v>93</v>
      </c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</row>
    <row r="594" spans="1:21" x14ac:dyDescent="0.2">
      <c r="A594" s="6" t="s">
        <v>162</v>
      </c>
      <c r="B594" s="13">
        <v>-23.57</v>
      </c>
      <c r="C594" s="13">
        <v>-15.59</v>
      </c>
      <c r="D594" s="13">
        <v>-13.06</v>
      </c>
      <c r="E594" s="13">
        <v>-10.37</v>
      </c>
      <c r="F594" s="13">
        <v>-11.5</v>
      </c>
      <c r="G594" s="13">
        <v>-7.11</v>
      </c>
      <c r="H594" s="13">
        <v>-7.67</v>
      </c>
      <c r="I594" s="13">
        <v>-2.0099999999999998</v>
      </c>
      <c r="J594" s="13">
        <v>-2.6</v>
      </c>
      <c r="K594" s="13">
        <v>-0.34</v>
      </c>
      <c r="L594" s="13">
        <v>-25.29</v>
      </c>
      <c r="M594" s="13">
        <v>-24.57</v>
      </c>
      <c r="N594" s="13">
        <v>-25.62</v>
      </c>
      <c r="O594" s="13">
        <v>-23.57</v>
      </c>
      <c r="P594" s="13">
        <v>-15.32</v>
      </c>
      <c r="Q594" s="13">
        <v>-14.93</v>
      </c>
      <c r="R594" s="13">
        <v>-14.79</v>
      </c>
      <c r="S594" s="13">
        <v>-15.59</v>
      </c>
      <c r="T594" s="13">
        <v>-16.16</v>
      </c>
      <c r="U594" s="13">
        <v>-12.19</v>
      </c>
    </row>
    <row r="595" spans="1:21" x14ac:dyDescent="0.2">
      <c r="A595" s="2" t="s">
        <v>228</v>
      </c>
      <c r="B595" s="9">
        <v>-27.99</v>
      </c>
      <c r="C595" s="9">
        <v>-19.559999999999999</v>
      </c>
      <c r="D595" s="9">
        <v>-16.690000000000001</v>
      </c>
      <c r="E595" s="9">
        <v>-13.83</v>
      </c>
      <c r="F595" s="9">
        <v>-14.97</v>
      </c>
      <c r="G595" s="9">
        <v>-10.48</v>
      </c>
      <c r="H595" s="9">
        <v>-11.11</v>
      </c>
      <c r="I595" s="9">
        <v>-5.34</v>
      </c>
      <c r="J595" s="9">
        <v>-5.89</v>
      </c>
      <c r="K595" s="9">
        <v>-3.7</v>
      </c>
      <c r="L595" s="9">
        <v>-29.31</v>
      </c>
      <c r="M595" s="9">
        <v>-28.57</v>
      </c>
      <c r="N595" s="9">
        <v>-29.47</v>
      </c>
      <c r="O595" s="9">
        <v>-27.99</v>
      </c>
      <c r="P595" s="9">
        <v>-19.23</v>
      </c>
      <c r="Q595" s="9">
        <v>-18.63</v>
      </c>
      <c r="R595" s="9">
        <v>-18.46</v>
      </c>
      <c r="S595" s="9">
        <v>-19.559999999999999</v>
      </c>
      <c r="T595" s="9">
        <v>-19.760000000000002</v>
      </c>
      <c r="U595" s="9">
        <v>-15.73</v>
      </c>
    </row>
    <row r="596" spans="1:21" x14ac:dyDescent="0.2">
      <c r="A596" s="6" t="s">
        <v>111</v>
      </c>
      <c r="B596" s="6" t="s">
        <v>1</v>
      </c>
      <c r="C596" s="6" t="s">
        <v>1</v>
      </c>
      <c r="D596" s="6" t="s">
        <v>1</v>
      </c>
      <c r="E596" s="6" t="s">
        <v>1</v>
      </c>
      <c r="F596" s="6" t="s">
        <v>1</v>
      </c>
      <c r="G596" s="6" t="s">
        <v>1</v>
      </c>
      <c r="H596" s="6" t="s">
        <v>1</v>
      </c>
      <c r="I596" s="6" t="s">
        <v>1</v>
      </c>
      <c r="J596" s="6" t="s">
        <v>1</v>
      </c>
      <c r="K596" s="6" t="s">
        <v>1</v>
      </c>
      <c r="L596" s="6" t="s">
        <v>1</v>
      </c>
      <c r="M596" s="6" t="s">
        <v>1</v>
      </c>
      <c r="N596" s="6" t="s">
        <v>1</v>
      </c>
      <c r="O596" s="6" t="s">
        <v>1</v>
      </c>
      <c r="P596" s="6" t="s">
        <v>1</v>
      </c>
      <c r="Q596" s="6" t="s">
        <v>1</v>
      </c>
      <c r="R596" s="6" t="s">
        <v>1</v>
      </c>
      <c r="S596" s="6" t="s">
        <v>1</v>
      </c>
      <c r="T596" s="6" t="s">
        <v>1</v>
      </c>
      <c r="U596" s="6" t="s">
        <v>1</v>
      </c>
    </row>
    <row r="597" spans="1:21" x14ac:dyDescent="0.2">
      <c r="A597" s="2" t="s">
        <v>128</v>
      </c>
      <c r="B597" s="2">
        <v>308.2</v>
      </c>
      <c r="C597" s="2">
        <v>73.3</v>
      </c>
      <c r="D597" s="2">
        <v>164.3</v>
      </c>
      <c r="E597" s="2">
        <v>30.5</v>
      </c>
      <c r="F597" s="2">
        <v>22.1</v>
      </c>
      <c r="G597" s="9">
        <v>-2.7</v>
      </c>
      <c r="H597" s="2">
        <v>3.4</v>
      </c>
      <c r="I597" s="9">
        <v>-3.2</v>
      </c>
      <c r="J597" s="9">
        <v>-5.6</v>
      </c>
      <c r="K597" s="2">
        <v>7.1</v>
      </c>
      <c r="L597" s="2">
        <v>241.2</v>
      </c>
      <c r="M597" s="2">
        <v>241.3</v>
      </c>
      <c r="N597" s="2">
        <v>233.3</v>
      </c>
      <c r="O597" s="2">
        <v>308.2</v>
      </c>
      <c r="P597" s="2">
        <v>47.3</v>
      </c>
      <c r="Q597" s="2">
        <v>78.3</v>
      </c>
      <c r="R597" s="2">
        <v>92</v>
      </c>
      <c r="S597" s="2">
        <v>73.3</v>
      </c>
      <c r="T597" s="2">
        <v>65.5</v>
      </c>
      <c r="U597" s="2">
        <v>179.4</v>
      </c>
    </row>
    <row r="598" spans="1:21" x14ac:dyDescent="0.2">
      <c r="A598" s="6" t="s">
        <v>229</v>
      </c>
      <c r="B598" s="6">
        <v>589.79999999999995</v>
      </c>
      <c r="C598" s="6">
        <v>275.10000000000002</v>
      </c>
      <c r="D598" s="6">
        <v>339.9</v>
      </c>
      <c r="E598" s="6">
        <v>176.1</v>
      </c>
      <c r="F598" s="6">
        <v>137.1</v>
      </c>
      <c r="G598" s="6">
        <v>111.2</v>
      </c>
      <c r="H598" s="6">
        <v>86.9</v>
      </c>
      <c r="I598" s="6">
        <v>74.900000000000006</v>
      </c>
      <c r="J598" s="6">
        <v>76.099999999999994</v>
      </c>
      <c r="K598" s="6">
        <v>85.3</v>
      </c>
      <c r="L598" s="6">
        <v>567</v>
      </c>
      <c r="M598" s="6">
        <v>583.1</v>
      </c>
      <c r="N598" s="6">
        <v>552.79999999999995</v>
      </c>
      <c r="O598" s="6">
        <v>589.79999999999995</v>
      </c>
      <c r="P598" s="6">
        <v>330.2</v>
      </c>
      <c r="Q598" s="6">
        <v>333.7</v>
      </c>
      <c r="R598" s="6">
        <v>278.39999999999998</v>
      </c>
      <c r="S598" s="6">
        <v>275.10000000000002</v>
      </c>
      <c r="T598" s="6">
        <v>236.4</v>
      </c>
      <c r="U598" s="6">
        <v>346.1</v>
      </c>
    </row>
    <row r="599" spans="1:21" x14ac:dyDescent="0.2">
      <c r="A599" s="2" t="s">
        <v>122</v>
      </c>
      <c r="B599" s="10">
        <v>1265.4000000000001</v>
      </c>
      <c r="C599" s="2">
        <v>732.5</v>
      </c>
      <c r="D599" s="2">
        <v>730.8</v>
      </c>
      <c r="E599" s="2">
        <v>485.6</v>
      </c>
      <c r="F599" s="2">
        <v>478.4</v>
      </c>
      <c r="G599" s="2">
        <v>320.7</v>
      </c>
      <c r="H599" s="2">
        <v>311.8</v>
      </c>
      <c r="I599" s="2">
        <v>133.30000000000001</v>
      </c>
      <c r="J599" s="2">
        <v>150.69999999999999</v>
      </c>
      <c r="K599" s="2">
        <v>95</v>
      </c>
      <c r="L599" s="10">
        <v>1269.5999999999999</v>
      </c>
      <c r="M599" s="10">
        <v>1269.0999999999999</v>
      </c>
      <c r="N599" s="10">
        <v>1267.8</v>
      </c>
      <c r="O599" s="10">
        <v>1265.4000000000001</v>
      </c>
      <c r="P599" s="2">
        <v>777.7</v>
      </c>
      <c r="Q599" s="2">
        <v>771.3</v>
      </c>
      <c r="R599" s="2">
        <v>712.8</v>
      </c>
      <c r="S599" s="2">
        <v>732.5</v>
      </c>
      <c r="T599" s="2">
        <v>711.9</v>
      </c>
      <c r="U599" s="2">
        <v>711.4</v>
      </c>
    </row>
    <row r="600" spans="1:21" x14ac:dyDescent="0.2">
      <c r="A600" s="6" t="s">
        <v>126</v>
      </c>
      <c r="B600" s="6">
        <v>896</v>
      </c>
      <c r="C600" s="6">
        <v>605.5</v>
      </c>
      <c r="D600" s="6">
        <v>525.1</v>
      </c>
      <c r="E600" s="6">
        <v>430.7</v>
      </c>
      <c r="F600" s="6">
        <v>419.1</v>
      </c>
      <c r="G600" s="6">
        <v>299.5</v>
      </c>
      <c r="H600" s="6">
        <v>294.8</v>
      </c>
      <c r="I600" s="6">
        <v>129.30000000000001</v>
      </c>
      <c r="J600" s="6">
        <v>144.4</v>
      </c>
      <c r="K600" s="6">
        <v>80.5</v>
      </c>
      <c r="L600" s="6">
        <v>983.5</v>
      </c>
      <c r="M600" s="6">
        <v>994.1</v>
      </c>
      <c r="N600" s="6">
        <v>968.7</v>
      </c>
      <c r="O600" s="6">
        <v>896</v>
      </c>
      <c r="P600" s="6">
        <v>635.6</v>
      </c>
      <c r="Q600" s="6">
        <v>631.29999999999995</v>
      </c>
      <c r="R600" s="6">
        <v>559.29999999999995</v>
      </c>
      <c r="S600" s="6">
        <v>605.5</v>
      </c>
      <c r="T600" s="6">
        <v>596.9</v>
      </c>
      <c r="U600" s="6">
        <v>497.3</v>
      </c>
    </row>
    <row r="601" spans="1:21" x14ac:dyDescent="0.2">
      <c r="A601" s="11" t="s">
        <v>230</v>
      </c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</row>
    <row r="602" spans="1:21" x14ac:dyDescent="0.2">
      <c r="A602" s="6" t="s">
        <v>231</v>
      </c>
      <c r="B602" s="6">
        <v>0.88</v>
      </c>
      <c r="C602" s="6">
        <v>2.0099999999999998</v>
      </c>
      <c r="D602" s="6">
        <v>2.14</v>
      </c>
      <c r="E602" s="6">
        <v>2.46</v>
      </c>
      <c r="F602" s="6">
        <v>2.31</v>
      </c>
      <c r="G602" s="6">
        <v>2.41</v>
      </c>
      <c r="H602" s="6">
        <v>2.58</v>
      </c>
      <c r="I602" s="6">
        <v>2.5099999999999998</v>
      </c>
      <c r="J602" s="6">
        <v>2.63</v>
      </c>
      <c r="K602" s="6">
        <v>2.62</v>
      </c>
      <c r="L602" s="16" t="s">
        <v>59</v>
      </c>
      <c r="M602" s="16" t="s">
        <v>59</v>
      </c>
      <c r="N602" s="16" t="s">
        <v>59</v>
      </c>
      <c r="O602" s="6">
        <v>0.88</v>
      </c>
      <c r="P602" s="16" t="s">
        <v>59</v>
      </c>
      <c r="Q602" s="16" t="s">
        <v>59</v>
      </c>
      <c r="R602" s="16" t="s">
        <v>59</v>
      </c>
      <c r="S602" s="6">
        <v>2.0099999999999998</v>
      </c>
      <c r="T602" s="16" t="s">
        <v>59</v>
      </c>
      <c r="U602" s="16" t="s">
        <v>59</v>
      </c>
    </row>
    <row r="603" spans="1:21" x14ac:dyDescent="0.2">
      <c r="A603" s="2" t="s">
        <v>232</v>
      </c>
      <c r="B603" s="2">
        <v>9.35</v>
      </c>
      <c r="C603" s="2">
        <v>8.68</v>
      </c>
      <c r="D603" s="2">
        <v>8.9700000000000006</v>
      </c>
      <c r="E603" s="2">
        <v>10.75</v>
      </c>
      <c r="F603" s="2">
        <v>10.54</v>
      </c>
      <c r="G603" s="2">
        <v>10.61</v>
      </c>
      <c r="H603" s="2">
        <v>15.29</v>
      </c>
      <c r="I603" s="2">
        <v>14.05</v>
      </c>
      <c r="J603" s="2">
        <v>13.19</v>
      </c>
      <c r="K603" s="2">
        <v>13.54</v>
      </c>
      <c r="L603" s="2">
        <v>9.7200000000000006</v>
      </c>
      <c r="M603" s="2">
        <v>12.11</v>
      </c>
      <c r="N603" s="2">
        <v>9</v>
      </c>
      <c r="O603" s="2">
        <v>9.35</v>
      </c>
      <c r="P603" s="2">
        <v>8.92</v>
      </c>
      <c r="Q603" s="2">
        <v>8.9700000000000006</v>
      </c>
      <c r="R603" s="2">
        <v>8.73</v>
      </c>
      <c r="S603" s="2">
        <v>8.68</v>
      </c>
      <c r="T603" s="2">
        <v>8.66</v>
      </c>
      <c r="U603" s="2">
        <v>7.94</v>
      </c>
    </row>
    <row r="604" spans="1:21" x14ac:dyDescent="0.2">
      <c r="A604" s="6" t="s">
        <v>233</v>
      </c>
      <c r="B604" s="6">
        <v>19.260000000000002</v>
      </c>
      <c r="C604" s="6">
        <v>21.6</v>
      </c>
      <c r="D604" s="6">
        <v>26.15</v>
      </c>
      <c r="E604" s="6">
        <v>25.3</v>
      </c>
      <c r="F604" s="6">
        <v>22.76</v>
      </c>
      <c r="G604" s="6">
        <v>23.88</v>
      </c>
      <c r="H604" s="6">
        <v>22.54</v>
      </c>
      <c r="I604" s="6">
        <v>18.239999999999998</v>
      </c>
      <c r="J604" s="6">
        <v>17.440000000000001</v>
      </c>
      <c r="K604" s="6">
        <v>20.18</v>
      </c>
      <c r="L604" s="6">
        <v>32.54</v>
      </c>
      <c r="M604" s="6">
        <v>13.96</v>
      </c>
      <c r="N604" s="6">
        <v>22.67</v>
      </c>
      <c r="O604" s="6">
        <v>19.260000000000002</v>
      </c>
      <c r="P604" s="6">
        <v>26.71</v>
      </c>
      <c r="Q604" s="6">
        <v>22.35</v>
      </c>
      <c r="R604" s="6">
        <v>27.29</v>
      </c>
      <c r="S604" s="6">
        <v>21.6</v>
      </c>
      <c r="T604" s="6">
        <v>19.39</v>
      </c>
      <c r="U604" s="6">
        <v>21.47</v>
      </c>
    </row>
    <row r="605" spans="1:21" x14ac:dyDescent="0.2">
      <c r="A605" s="11" t="s">
        <v>234</v>
      </c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</row>
    <row r="606" spans="1:21" x14ac:dyDescent="0.2">
      <c r="A606" s="6" t="s">
        <v>115</v>
      </c>
      <c r="B606" s="6">
        <v>17.43</v>
      </c>
      <c r="C606" s="6">
        <v>12.29</v>
      </c>
      <c r="D606" s="6">
        <v>3.32</v>
      </c>
      <c r="E606" s="6">
        <v>7.03</v>
      </c>
      <c r="F606" s="6">
        <v>6.28</v>
      </c>
      <c r="G606" s="6">
        <v>5.09</v>
      </c>
      <c r="H606" s="6">
        <v>2.94</v>
      </c>
      <c r="I606" s="6">
        <v>1.46</v>
      </c>
      <c r="J606" s="6">
        <v>0.74</v>
      </c>
      <c r="K606" s="6">
        <v>0.69</v>
      </c>
      <c r="L606" s="6">
        <v>6.07</v>
      </c>
      <c r="M606" s="6">
        <v>4.91</v>
      </c>
      <c r="N606" s="6">
        <v>4.2</v>
      </c>
      <c r="O606" s="6">
        <v>4.78</v>
      </c>
      <c r="P606" s="6">
        <v>5.75</v>
      </c>
      <c r="Q606" s="6">
        <v>3.89</v>
      </c>
      <c r="R606" s="6">
        <v>3.01</v>
      </c>
      <c r="S606" s="6">
        <v>4.38</v>
      </c>
      <c r="T606" s="6">
        <v>2.4700000000000002</v>
      </c>
      <c r="U606" s="16" t="s">
        <v>59</v>
      </c>
    </row>
    <row r="607" spans="1:21" x14ac:dyDescent="0.2">
      <c r="A607" s="2" t="s">
        <v>235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2">
      <c r="A608" s="7" t="s">
        <v>236</v>
      </c>
      <c r="B608" s="7">
        <v>86.65</v>
      </c>
      <c r="C608" s="7">
        <v>23.34</v>
      </c>
      <c r="D608" s="7">
        <v>19.579999999999998</v>
      </c>
      <c r="E608" s="7">
        <v>17.41</v>
      </c>
      <c r="F608" s="7">
        <v>8.48</v>
      </c>
      <c r="G608" s="7">
        <v>11.08</v>
      </c>
      <c r="H608" s="7">
        <v>11.87</v>
      </c>
      <c r="I608" s="14" t="s">
        <v>59</v>
      </c>
      <c r="J608" s="7">
        <v>11.18</v>
      </c>
      <c r="K608" s="14" t="s">
        <v>59</v>
      </c>
      <c r="L608" s="14" t="s">
        <v>59</v>
      </c>
      <c r="M608" s="14" t="s">
        <v>59</v>
      </c>
      <c r="N608" s="14" t="s">
        <v>59</v>
      </c>
      <c r="O608" s="14" t="s">
        <v>59</v>
      </c>
      <c r="P608" s="14" t="s">
        <v>59</v>
      </c>
      <c r="Q608" s="14" t="s">
        <v>59</v>
      </c>
      <c r="R608" s="14" t="s">
        <v>59</v>
      </c>
      <c r="S608" s="14" t="s">
        <v>59</v>
      </c>
      <c r="T608" s="14" t="s">
        <v>59</v>
      </c>
      <c r="U608" s="14" t="s">
        <v>59</v>
      </c>
    </row>
    <row r="609" spans="1:21" x14ac:dyDescent="0.2">
      <c r="A609" s="2" t="s">
        <v>237</v>
      </c>
      <c r="B609" s="2">
        <v>4.25</v>
      </c>
      <c r="C609" s="2">
        <v>3.61</v>
      </c>
      <c r="D609" s="2">
        <v>3.16</v>
      </c>
      <c r="E609" s="2">
        <v>2.96</v>
      </c>
      <c r="F609" s="2">
        <v>2.61</v>
      </c>
      <c r="G609" s="2">
        <v>2.2200000000000002</v>
      </c>
      <c r="H609" s="2">
        <v>2.1800000000000002</v>
      </c>
      <c r="I609" s="15" t="s">
        <v>59</v>
      </c>
      <c r="J609" s="2">
        <v>1.73</v>
      </c>
      <c r="K609" s="15" t="s">
        <v>59</v>
      </c>
      <c r="L609" s="15" t="s">
        <v>59</v>
      </c>
      <c r="M609" s="15" t="s">
        <v>59</v>
      </c>
      <c r="N609" s="15" t="s">
        <v>59</v>
      </c>
      <c r="O609" s="15" t="s">
        <v>59</v>
      </c>
      <c r="P609" s="15" t="s">
        <v>59</v>
      </c>
      <c r="Q609" s="15" t="s">
        <v>59</v>
      </c>
      <c r="R609" s="15" t="s">
        <v>59</v>
      </c>
      <c r="S609" s="15" t="s">
        <v>59</v>
      </c>
      <c r="T609" s="15" t="s">
        <v>59</v>
      </c>
      <c r="U609" s="15" t="s">
        <v>59</v>
      </c>
    </row>
    <row r="610" spans="1:21" x14ac:dyDescent="0.2">
      <c r="A610" s="6" t="s">
        <v>238</v>
      </c>
      <c r="B610" s="6">
        <v>7.79</v>
      </c>
      <c r="C610" s="6">
        <v>3.54</v>
      </c>
      <c r="D610" s="6">
        <v>2.64</v>
      </c>
      <c r="E610" s="6">
        <v>3.1</v>
      </c>
      <c r="F610" s="6">
        <v>1.9</v>
      </c>
      <c r="G610" s="6">
        <v>2.2200000000000002</v>
      </c>
      <c r="H610" s="6">
        <v>2.21</v>
      </c>
      <c r="I610" s="16" t="s">
        <v>59</v>
      </c>
      <c r="J610" s="6">
        <v>1.54</v>
      </c>
      <c r="K610" s="16" t="s">
        <v>59</v>
      </c>
      <c r="L610" s="16" t="s">
        <v>59</v>
      </c>
      <c r="M610" s="16" t="s">
        <v>59</v>
      </c>
      <c r="N610" s="16" t="s">
        <v>59</v>
      </c>
      <c r="O610" s="16" t="s">
        <v>59</v>
      </c>
      <c r="P610" s="16" t="s">
        <v>59</v>
      </c>
      <c r="Q610" s="16" t="s">
        <v>59</v>
      </c>
      <c r="R610" s="16" t="s">
        <v>59</v>
      </c>
      <c r="S610" s="16" t="s">
        <v>59</v>
      </c>
      <c r="T610" s="16" t="s">
        <v>59</v>
      </c>
      <c r="U610" s="16" t="s">
        <v>59</v>
      </c>
    </row>
    <row r="611" spans="1:21" x14ac:dyDescent="0.2">
      <c r="A611" s="2" t="s">
        <v>239</v>
      </c>
      <c r="B611" s="2">
        <v>7.67</v>
      </c>
      <c r="C611" s="2">
        <v>3.18</v>
      </c>
      <c r="D611" s="2">
        <v>2.54</v>
      </c>
      <c r="E611" s="2">
        <v>2.25</v>
      </c>
      <c r="F611" s="2">
        <v>1.73</v>
      </c>
      <c r="G611" s="2">
        <v>2.0099999999999998</v>
      </c>
      <c r="H611" s="2">
        <v>2.0099999999999998</v>
      </c>
      <c r="I611" s="15" t="s">
        <v>59</v>
      </c>
      <c r="J611" s="2">
        <v>1.31</v>
      </c>
      <c r="K611" s="15" t="s">
        <v>59</v>
      </c>
      <c r="L611" s="15" t="s">
        <v>59</v>
      </c>
      <c r="M611" s="15" t="s">
        <v>59</v>
      </c>
      <c r="N611" s="15" t="s">
        <v>59</v>
      </c>
      <c r="O611" s="15" t="s">
        <v>59</v>
      </c>
      <c r="P611" s="15" t="s">
        <v>59</v>
      </c>
      <c r="Q611" s="15" t="s">
        <v>59</v>
      </c>
      <c r="R611" s="15" t="s">
        <v>59</v>
      </c>
      <c r="S611" s="15" t="s">
        <v>59</v>
      </c>
      <c r="T611" s="15" t="s">
        <v>59</v>
      </c>
      <c r="U611" s="15" t="s">
        <v>59</v>
      </c>
    </row>
    <row r="612" spans="1:21" x14ac:dyDescent="0.2">
      <c r="A612" s="6" t="s">
        <v>240</v>
      </c>
      <c r="B612" s="6">
        <v>7.71</v>
      </c>
      <c r="C612" s="6">
        <v>2.79</v>
      </c>
      <c r="D612" s="6">
        <v>2.21</v>
      </c>
      <c r="E612" s="6">
        <v>1.98</v>
      </c>
      <c r="F612" s="6">
        <v>0.94</v>
      </c>
      <c r="G612" s="6">
        <v>1.74</v>
      </c>
      <c r="H612" s="6">
        <v>1.8</v>
      </c>
      <c r="I612" s="16" t="s">
        <v>59</v>
      </c>
      <c r="J612" s="6">
        <v>1.19</v>
      </c>
      <c r="K612" s="16" t="s">
        <v>59</v>
      </c>
      <c r="L612" s="16" t="s">
        <v>59</v>
      </c>
      <c r="M612" s="16" t="s">
        <v>59</v>
      </c>
      <c r="N612" s="16" t="s">
        <v>59</v>
      </c>
      <c r="O612" s="16" t="s">
        <v>59</v>
      </c>
      <c r="P612" s="16" t="s">
        <v>59</v>
      </c>
      <c r="Q612" s="16" t="s">
        <v>59</v>
      </c>
      <c r="R612" s="16" t="s">
        <v>59</v>
      </c>
      <c r="S612" s="16" t="s">
        <v>59</v>
      </c>
      <c r="T612" s="16" t="s">
        <v>59</v>
      </c>
      <c r="U612" s="16" t="s">
        <v>59</v>
      </c>
    </row>
    <row r="613" spans="1:21" x14ac:dyDescent="0.2">
      <c r="A613" s="2" t="s">
        <v>241</v>
      </c>
      <c r="B613" s="2">
        <v>7.39</v>
      </c>
      <c r="C613" s="2">
        <v>2.69</v>
      </c>
      <c r="D613" s="2">
        <v>1.4</v>
      </c>
      <c r="E613" s="2">
        <v>1.67</v>
      </c>
      <c r="F613" s="2">
        <v>0.7</v>
      </c>
      <c r="G613" s="2">
        <v>1.4</v>
      </c>
      <c r="H613" s="2">
        <v>1.52</v>
      </c>
      <c r="I613" s="15" t="s">
        <v>59</v>
      </c>
      <c r="J613" s="2">
        <v>1.03</v>
      </c>
      <c r="K613" s="15" t="s">
        <v>59</v>
      </c>
      <c r="L613" s="15" t="s">
        <v>59</v>
      </c>
      <c r="M613" s="15" t="s">
        <v>59</v>
      </c>
      <c r="N613" s="15" t="s">
        <v>59</v>
      </c>
      <c r="O613" s="15" t="s">
        <v>59</v>
      </c>
      <c r="P613" s="15" t="s">
        <v>59</v>
      </c>
      <c r="Q613" s="15" t="s">
        <v>59</v>
      </c>
      <c r="R613" s="15" t="s">
        <v>59</v>
      </c>
      <c r="S613" s="15" t="s">
        <v>59</v>
      </c>
      <c r="T613" s="15" t="s">
        <v>59</v>
      </c>
      <c r="U613" s="15" t="s">
        <v>59</v>
      </c>
    </row>
    <row r="614" spans="1:21" x14ac:dyDescent="0.2">
      <c r="A614" s="6" t="s">
        <v>242</v>
      </c>
      <c r="B614" s="6">
        <v>51.84</v>
      </c>
      <c r="C614" s="6">
        <v>7.55</v>
      </c>
      <c r="D614" s="6">
        <v>7.63</v>
      </c>
      <c r="E614" s="6">
        <v>5.46</v>
      </c>
      <c r="F614" s="6">
        <v>0.59</v>
      </c>
      <c r="G614" s="6">
        <v>1.49</v>
      </c>
      <c r="H614" s="6">
        <v>2.15</v>
      </c>
      <c r="I614" s="16" t="s">
        <v>59</v>
      </c>
      <c r="J614" s="6">
        <v>4.3899999999999997</v>
      </c>
      <c r="K614" s="16" t="s">
        <v>59</v>
      </c>
      <c r="L614" s="16" t="s">
        <v>59</v>
      </c>
      <c r="M614" s="16" t="s">
        <v>59</v>
      </c>
      <c r="N614" s="16" t="s">
        <v>59</v>
      </c>
      <c r="O614" s="16" t="s">
        <v>59</v>
      </c>
      <c r="P614" s="16" t="s">
        <v>59</v>
      </c>
      <c r="Q614" s="16" t="s">
        <v>59</v>
      </c>
      <c r="R614" s="16" t="s">
        <v>59</v>
      </c>
      <c r="S614" s="16" t="s">
        <v>59</v>
      </c>
      <c r="T614" s="16" t="s">
        <v>59</v>
      </c>
      <c r="U614" s="16" t="s">
        <v>59</v>
      </c>
    </row>
    <row r="615" spans="1:21" x14ac:dyDescent="0.2">
      <c r="A615" s="2" t="s">
        <v>243</v>
      </c>
      <c r="B615" s="10">
        <v>1264.3699999999999</v>
      </c>
      <c r="C615" s="2">
        <v>730.13</v>
      </c>
      <c r="D615" s="2">
        <v>721.19</v>
      </c>
      <c r="E615" s="2">
        <v>483.18</v>
      </c>
      <c r="F615" s="2">
        <v>472.41</v>
      </c>
      <c r="G615" s="2">
        <v>315.64</v>
      </c>
      <c r="H615" s="2">
        <v>309.37</v>
      </c>
      <c r="I615" s="2">
        <v>129.84</v>
      </c>
      <c r="J615" s="2">
        <v>147.22</v>
      </c>
      <c r="K615" s="2">
        <v>95.01</v>
      </c>
      <c r="L615" s="10">
        <v>1266.68</v>
      </c>
      <c r="M615" s="10">
        <v>1266.1099999999999</v>
      </c>
      <c r="N615" s="10">
        <v>1264.81</v>
      </c>
      <c r="O615" s="10">
        <v>1264.3699999999999</v>
      </c>
      <c r="P615" s="2">
        <v>774.14</v>
      </c>
      <c r="Q615" s="2">
        <v>767.2</v>
      </c>
      <c r="R615" s="2">
        <v>712.79</v>
      </c>
      <c r="S615" s="2">
        <v>730.13</v>
      </c>
      <c r="T615" s="2">
        <v>711.87</v>
      </c>
      <c r="U615" s="2">
        <v>711.41</v>
      </c>
    </row>
    <row r="616" spans="1:21" x14ac:dyDescent="0.2">
      <c r="A616" s="6" t="s">
        <v>1</v>
      </c>
      <c r="B616" s="6" t="s">
        <v>1</v>
      </c>
      <c r="C616" s="6" t="s">
        <v>1</v>
      </c>
      <c r="D616" s="6" t="s">
        <v>1</v>
      </c>
      <c r="E616" s="6" t="s">
        <v>1</v>
      </c>
      <c r="F616" s="6" t="s">
        <v>1</v>
      </c>
      <c r="G616" s="6" t="s">
        <v>1</v>
      </c>
      <c r="H616" s="6" t="s">
        <v>1</v>
      </c>
      <c r="I616" s="6" t="s">
        <v>1</v>
      </c>
      <c r="J616" s="6" t="s">
        <v>1</v>
      </c>
      <c r="K616" s="6" t="s">
        <v>1</v>
      </c>
      <c r="L616" s="6" t="s">
        <v>1</v>
      </c>
      <c r="M616" s="6" t="s">
        <v>1</v>
      </c>
      <c r="N616" s="6" t="s">
        <v>1</v>
      </c>
      <c r="O616" s="6" t="s">
        <v>1</v>
      </c>
      <c r="P616" s="6" t="s">
        <v>1</v>
      </c>
      <c r="Q616" s="6" t="s">
        <v>1</v>
      </c>
      <c r="R616" s="6" t="s">
        <v>1</v>
      </c>
      <c r="S616" s="6" t="s">
        <v>1</v>
      </c>
      <c r="T616" s="6" t="s">
        <v>1</v>
      </c>
      <c r="U616" s="6" t="s">
        <v>1</v>
      </c>
    </row>
    <row r="617" spans="1:21" x14ac:dyDescent="0.2">
      <c r="A617" s="2" t="s">
        <v>244</v>
      </c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2">
      <c r="A618" s="6" t="s">
        <v>245</v>
      </c>
      <c r="B618" s="6" t="s">
        <v>1</v>
      </c>
      <c r="C618" s="6" t="s">
        <v>1</v>
      </c>
      <c r="D618" s="6" t="s">
        <v>1</v>
      </c>
      <c r="E618" s="6" t="s">
        <v>1</v>
      </c>
      <c r="F618" s="6" t="s">
        <v>1</v>
      </c>
      <c r="G618" s="6" t="s">
        <v>1</v>
      </c>
      <c r="H618" s="6" t="s">
        <v>1</v>
      </c>
      <c r="I618" s="6" t="s">
        <v>1</v>
      </c>
      <c r="J618" s="6" t="s">
        <v>1</v>
      </c>
      <c r="K618" s="6" t="s">
        <v>1</v>
      </c>
      <c r="L618" s="6" t="s">
        <v>1</v>
      </c>
      <c r="M618" s="6" t="s">
        <v>1</v>
      </c>
      <c r="N618" s="6" t="s">
        <v>1</v>
      </c>
      <c r="O618" s="6" t="s">
        <v>1</v>
      </c>
      <c r="P618" s="6" t="s">
        <v>1</v>
      </c>
      <c r="Q618" s="6" t="s">
        <v>1</v>
      </c>
      <c r="R618" s="6" t="s">
        <v>1</v>
      </c>
      <c r="S618" s="6" t="s">
        <v>1</v>
      </c>
      <c r="T618" s="6" t="s">
        <v>1</v>
      </c>
      <c r="U618" s="6" t="s">
        <v>1</v>
      </c>
    </row>
    <row r="619" spans="1:21" x14ac:dyDescent="0.2">
      <c r="A619" s="11" t="s">
        <v>246</v>
      </c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</row>
    <row r="620" spans="1:21" x14ac:dyDescent="0.2">
      <c r="A620" s="6" t="s">
        <v>247</v>
      </c>
      <c r="B620" s="6">
        <v>108.72</v>
      </c>
      <c r="C620" s="6">
        <v>70.180000000000007</v>
      </c>
      <c r="D620" s="6">
        <v>52.95</v>
      </c>
      <c r="E620" s="6">
        <v>42.66</v>
      </c>
      <c r="F620" s="6">
        <v>23.31</v>
      </c>
      <c r="G620" s="6">
        <v>20.48</v>
      </c>
      <c r="H620" s="6">
        <v>21.72</v>
      </c>
      <c r="I620" s="6">
        <v>23.94</v>
      </c>
      <c r="J620" s="6">
        <v>15.43</v>
      </c>
      <c r="K620" s="6">
        <v>10.11</v>
      </c>
      <c r="L620" s="6">
        <v>28.48</v>
      </c>
      <c r="M620" s="6">
        <v>26.76</v>
      </c>
      <c r="N620" s="6">
        <v>92.27</v>
      </c>
      <c r="O620" s="6">
        <v>26.75</v>
      </c>
      <c r="P620" s="6">
        <v>25.73</v>
      </c>
      <c r="Q620" s="6">
        <v>27.49</v>
      </c>
      <c r="R620" s="6">
        <v>28.75</v>
      </c>
      <c r="S620" s="6">
        <v>18.809999999999999</v>
      </c>
      <c r="T620" s="6">
        <v>19.510000000000002</v>
      </c>
      <c r="U620" s="6">
        <v>16.18</v>
      </c>
    </row>
    <row r="621" spans="1:21" x14ac:dyDescent="0.2">
      <c r="A621" s="11" t="s">
        <v>248</v>
      </c>
      <c r="B621" s="11">
        <v>19.489999999999998</v>
      </c>
      <c r="C621" s="11">
        <v>13.24</v>
      </c>
      <c r="D621" s="11">
        <v>10.9</v>
      </c>
      <c r="E621" s="11">
        <v>7.94</v>
      </c>
      <c r="F621" s="11">
        <v>7.52</v>
      </c>
      <c r="G621" s="11">
        <v>5.48</v>
      </c>
      <c r="H621" s="11">
        <v>4.3099999999999996</v>
      </c>
      <c r="I621" s="11">
        <v>3.38</v>
      </c>
      <c r="J621" s="11">
        <v>3.01</v>
      </c>
      <c r="K621" s="11">
        <v>2.68</v>
      </c>
      <c r="L621" s="11">
        <v>6.23</v>
      </c>
      <c r="M621" s="11">
        <v>6.22</v>
      </c>
      <c r="N621" s="11">
        <v>6.23</v>
      </c>
      <c r="O621" s="11">
        <v>5.87</v>
      </c>
      <c r="P621" s="11">
        <v>5.05</v>
      </c>
      <c r="Q621" s="11">
        <v>5.16</v>
      </c>
      <c r="R621" s="11">
        <v>3.41</v>
      </c>
      <c r="S621" s="11">
        <v>3.65</v>
      </c>
      <c r="T621" s="11">
        <v>3.38</v>
      </c>
      <c r="U621" s="11">
        <v>3.22</v>
      </c>
    </row>
    <row r="622" spans="1:21" x14ac:dyDescent="0.2">
      <c r="A622" s="6" t="s">
        <v>249</v>
      </c>
      <c r="B622" s="6">
        <v>16.190000000000001</v>
      </c>
      <c r="C622" s="6">
        <v>10.54</v>
      </c>
      <c r="D622" s="6">
        <v>8.6999999999999993</v>
      </c>
      <c r="E622" s="6">
        <v>5.64</v>
      </c>
      <c r="F622" s="6">
        <v>5.22</v>
      </c>
      <c r="G622" s="6">
        <v>3.08</v>
      </c>
      <c r="H622" s="6">
        <v>2.11</v>
      </c>
      <c r="I622" s="6">
        <v>1.88</v>
      </c>
      <c r="J622" s="6">
        <v>1.61</v>
      </c>
      <c r="K622" s="6">
        <v>1.28</v>
      </c>
      <c r="L622" s="16" t="s">
        <v>59</v>
      </c>
      <c r="M622" s="16" t="s">
        <v>59</v>
      </c>
      <c r="N622" s="16" t="s">
        <v>59</v>
      </c>
      <c r="O622" s="16" t="s">
        <v>59</v>
      </c>
      <c r="P622" s="16" t="s">
        <v>59</v>
      </c>
      <c r="Q622" s="16" t="s">
        <v>59</v>
      </c>
      <c r="R622" s="16" t="s">
        <v>59</v>
      </c>
      <c r="S622" s="16" t="s">
        <v>59</v>
      </c>
      <c r="T622" s="16" t="s">
        <v>59</v>
      </c>
      <c r="U622" s="16" t="s">
        <v>59</v>
      </c>
    </row>
    <row r="623" spans="1:21" x14ac:dyDescent="0.2">
      <c r="A623" s="2" t="s">
        <v>303</v>
      </c>
      <c r="B623" s="2">
        <v>3.3</v>
      </c>
      <c r="C623" s="2">
        <v>2.7</v>
      </c>
      <c r="D623" s="2">
        <v>2.2000000000000002</v>
      </c>
      <c r="E623" s="2">
        <v>2.2999999999999998</v>
      </c>
      <c r="F623" s="2">
        <v>2.2999999999999998</v>
      </c>
      <c r="G623" s="2">
        <v>2.4</v>
      </c>
      <c r="H623" s="2">
        <v>2.2000000000000002</v>
      </c>
      <c r="I623" s="2">
        <v>1.5</v>
      </c>
      <c r="J623" s="2">
        <v>1.4</v>
      </c>
      <c r="K623" s="2">
        <v>1.4</v>
      </c>
      <c r="L623" s="15" t="s">
        <v>59</v>
      </c>
      <c r="M623" s="15" t="s">
        <v>59</v>
      </c>
      <c r="N623" s="15" t="s">
        <v>59</v>
      </c>
      <c r="O623" s="15" t="s">
        <v>59</v>
      </c>
      <c r="P623" s="15" t="s">
        <v>59</v>
      </c>
      <c r="Q623" s="15" t="s">
        <v>59</v>
      </c>
      <c r="R623" s="15" t="s">
        <v>59</v>
      </c>
      <c r="S623" s="15" t="s">
        <v>59</v>
      </c>
      <c r="T623" s="15" t="s">
        <v>59</v>
      </c>
      <c r="U623" s="15" t="s">
        <v>59</v>
      </c>
    </row>
    <row r="624" spans="1:21" x14ac:dyDescent="0.2">
      <c r="A624" s="7" t="s">
        <v>250</v>
      </c>
      <c r="B624" s="7">
        <v>-1.81</v>
      </c>
      <c r="C624" s="7">
        <v>-1.55</v>
      </c>
      <c r="D624" s="7">
        <v>-3.25</v>
      </c>
      <c r="E624" s="7">
        <v>2.95</v>
      </c>
      <c r="F624" s="7">
        <v>0</v>
      </c>
      <c r="G624" s="7">
        <v>-0.43</v>
      </c>
      <c r="H624" s="7">
        <v>-1.05</v>
      </c>
      <c r="I624" s="7">
        <v>-2.5499999999999998</v>
      </c>
      <c r="J624" s="7">
        <v>-0.71</v>
      </c>
      <c r="K624" s="7">
        <v>-1.05</v>
      </c>
      <c r="L624" s="7">
        <v>17.39</v>
      </c>
      <c r="M624" s="7">
        <v>-0.63</v>
      </c>
      <c r="N624" s="7">
        <v>13.32</v>
      </c>
      <c r="O624" s="7">
        <v>-0.19</v>
      </c>
      <c r="P624" s="7">
        <v>-2.5299999999999998</v>
      </c>
      <c r="Q624" s="7">
        <v>-1.01</v>
      </c>
      <c r="R624" s="7">
        <v>1.91</v>
      </c>
      <c r="S624" s="7">
        <v>-0.35</v>
      </c>
      <c r="T624" s="7">
        <v>-0.17</v>
      </c>
      <c r="U624" s="7">
        <v>-0.23</v>
      </c>
    </row>
    <row r="625" spans="1:21" x14ac:dyDescent="0.2">
      <c r="A625" s="2" t="s">
        <v>251</v>
      </c>
      <c r="B625" s="9">
        <v>-1.81</v>
      </c>
      <c r="C625" s="9">
        <v>-1.55</v>
      </c>
      <c r="D625" s="9">
        <v>-3.25</v>
      </c>
      <c r="E625" s="2">
        <v>2.95</v>
      </c>
      <c r="F625" s="9">
        <v>0</v>
      </c>
      <c r="G625" s="9">
        <v>-0.43</v>
      </c>
      <c r="H625" s="9">
        <v>-1.05</v>
      </c>
      <c r="I625" s="9">
        <v>-2.5499999999999998</v>
      </c>
      <c r="J625" s="9">
        <v>-0.71</v>
      </c>
      <c r="K625" s="9">
        <v>-1.05</v>
      </c>
      <c r="L625" s="2">
        <v>17.39</v>
      </c>
      <c r="M625" s="9">
        <v>-0.63</v>
      </c>
      <c r="N625" s="2">
        <v>13.32</v>
      </c>
      <c r="O625" s="9">
        <v>-0.19</v>
      </c>
      <c r="P625" s="9">
        <v>-2.5299999999999998</v>
      </c>
      <c r="Q625" s="9">
        <v>-1.01</v>
      </c>
      <c r="R625" s="2">
        <v>1.91</v>
      </c>
      <c r="S625" s="9">
        <v>-0.35</v>
      </c>
      <c r="T625" s="9">
        <v>-0.17</v>
      </c>
      <c r="U625" s="9">
        <v>-0.23</v>
      </c>
    </row>
    <row r="626" spans="1:21" x14ac:dyDescent="0.2">
      <c r="A626" s="6" t="s">
        <v>252</v>
      </c>
      <c r="B626" s="6">
        <v>23.17</v>
      </c>
      <c r="C626" s="6">
        <v>17.7</v>
      </c>
      <c r="D626" s="6">
        <v>8.1199999999999992</v>
      </c>
      <c r="E626" s="6">
        <v>7.54</v>
      </c>
      <c r="F626" s="6">
        <v>20.7</v>
      </c>
      <c r="G626" s="6">
        <v>8.56</v>
      </c>
      <c r="H626" s="6">
        <v>5.71</v>
      </c>
      <c r="I626" s="6">
        <v>2.14</v>
      </c>
      <c r="J626" s="6">
        <v>0.51</v>
      </c>
      <c r="K626" s="6">
        <v>0.67</v>
      </c>
      <c r="L626" s="6">
        <v>6.86</v>
      </c>
      <c r="M626" s="6">
        <v>7</v>
      </c>
      <c r="N626" s="13">
        <v>-79.87</v>
      </c>
      <c r="O626" s="6">
        <v>5.6</v>
      </c>
      <c r="P626" s="6">
        <v>7.8</v>
      </c>
      <c r="Q626" s="6">
        <v>5.45</v>
      </c>
      <c r="R626" s="6">
        <v>4.33</v>
      </c>
      <c r="S626" s="6">
        <v>6.05</v>
      </c>
      <c r="T626" s="6">
        <v>3.66</v>
      </c>
      <c r="U626" s="6">
        <v>4.05</v>
      </c>
    </row>
    <row r="627" spans="1:21" x14ac:dyDescent="0.2">
      <c r="A627" s="2" t="s">
        <v>253</v>
      </c>
      <c r="B627" s="2">
        <v>149.57</v>
      </c>
      <c r="C627" s="2">
        <v>99.56</v>
      </c>
      <c r="D627" s="2">
        <v>68.709999999999994</v>
      </c>
      <c r="E627" s="2">
        <v>61.09</v>
      </c>
      <c r="F627" s="2">
        <v>51.52</v>
      </c>
      <c r="G627" s="2">
        <v>34.090000000000003</v>
      </c>
      <c r="H627" s="2">
        <v>30.69</v>
      </c>
      <c r="I627" s="2">
        <v>26.91</v>
      </c>
      <c r="J627" s="2">
        <v>18.23</v>
      </c>
      <c r="K627" s="2">
        <v>12.41</v>
      </c>
      <c r="L627" s="2">
        <v>58.95</v>
      </c>
      <c r="M627" s="2">
        <v>39.35</v>
      </c>
      <c r="N627" s="2">
        <v>31.94</v>
      </c>
      <c r="O627" s="2">
        <v>38.03</v>
      </c>
      <c r="P627" s="2">
        <v>36.049999999999997</v>
      </c>
      <c r="Q627" s="2">
        <v>37.090000000000003</v>
      </c>
      <c r="R627" s="2">
        <v>38.4</v>
      </c>
      <c r="S627" s="2">
        <v>28.16</v>
      </c>
      <c r="T627" s="2">
        <v>26.38</v>
      </c>
      <c r="U627" s="2">
        <v>23.22</v>
      </c>
    </row>
    <row r="628" spans="1:21" x14ac:dyDescent="0.2">
      <c r="A628" s="7" t="s">
        <v>254</v>
      </c>
      <c r="B628" s="7">
        <v>8.0399999999999991</v>
      </c>
      <c r="C628" s="7">
        <v>22.04</v>
      </c>
      <c r="D628" s="7">
        <v>7.53</v>
      </c>
      <c r="E628" s="7">
        <v>-12.21</v>
      </c>
      <c r="F628" s="7">
        <v>14.01</v>
      </c>
      <c r="G628" s="7">
        <v>4.49</v>
      </c>
      <c r="H628" s="7">
        <v>8.08</v>
      </c>
      <c r="I628" s="7">
        <v>0.52</v>
      </c>
      <c r="J628" s="7">
        <v>3.93</v>
      </c>
      <c r="K628" s="7">
        <v>0.63</v>
      </c>
      <c r="L628" s="7">
        <v>4.92</v>
      </c>
      <c r="M628" s="7">
        <v>-32.770000000000003</v>
      </c>
      <c r="N628" s="7">
        <v>-6.65</v>
      </c>
      <c r="O628" s="7">
        <v>-30.29</v>
      </c>
      <c r="P628" s="7">
        <v>32.979999999999997</v>
      </c>
      <c r="Q628" s="7">
        <v>-0.91</v>
      </c>
      <c r="R628" s="7">
        <v>6.26</v>
      </c>
      <c r="S628" s="7">
        <v>9.69</v>
      </c>
      <c r="T628" s="7">
        <v>9.4</v>
      </c>
      <c r="U628" s="7">
        <v>-10.95</v>
      </c>
    </row>
    <row r="629" spans="1:21" x14ac:dyDescent="0.2">
      <c r="A629" s="2" t="s">
        <v>255</v>
      </c>
      <c r="B629" s="9">
        <v>-7.25</v>
      </c>
      <c r="C629" s="9">
        <v>-2.95</v>
      </c>
      <c r="D629" s="9">
        <v>-2.4700000000000002</v>
      </c>
      <c r="E629" s="9">
        <v>-2.14</v>
      </c>
      <c r="F629" s="2">
        <v>0.25</v>
      </c>
      <c r="G629" s="2">
        <v>0.5</v>
      </c>
      <c r="H629" s="9">
        <v>-1.2</v>
      </c>
      <c r="I629" s="9">
        <v>-1.37</v>
      </c>
      <c r="J629" s="2">
        <v>0.21</v>
      </c>
      <c r="K629" s="9">
        <v>-1</v>
      </c>
      <c r="L629" s="2">
        <v>8.9700000000000006</v>
      </c>
      <c r="M629" s="9">
        <v>-9.94</v>
      </c>
      <c r="N629" s="2">
        <v>1.21</v>
      </c>
      <c r="O629" s="9">
        <v>-2.72</v>
      </c>
      <c r="P629" s="9">
        <v>-1.19</v>
      </c>
      <c r="Q629" s="9">
        <v>-2.11</v>
      </c>
      <c r="R629" s="9">
        <v>-1.24</v>
      </c>
      <c r="S629" s="9">
        <v>-0.46</v>
      </c>
      <c r="T629" s="9">
        <v>-1.2</v>
      </c>
      <c r="U629" s="9">
        <v>-0.61</v>
      </c>
    </row>
    <row r="630" spans="1:21" x14ac:dyDescent="0.2">
      <c r="A630" s="6" t="s">
        <v>116</v>
      </c>
      <c r="B630" s="6">
        <v>2.93</v>
      </c>
      <c r="C630" s="6">
        <v>10.63</v>
      </c>
      <c r="D630" s="6">
        <v>5.0999999999999996</v>
      </c>
      <c r="E630" s="13">
        <v>-0.27</v>
      </c>
      <c r="F630" s="6">
        <v>1.51</v>
      </c>
      <c r="G630" s="6">
        <v>3.09</v>
      </c>
      <c r="H630" s="6">
        <v>7</v>
      </c>
      <c r="I630" s="13">
        <v>-0.88</v>
      </c>
      <c r="J630" s="6">
        <v>3.65</v>
      </c>
      <c r="K630" s="6">
        <v>1.17</v>
      </c>
      <c r="L630" s="13">
        <v>-9.69</v>
      </c>
      <c r="M630" s="13">
        <v>-12.94</v>
      </c>
      <c r="N630" s="6">
        <v>12.22</v>
      </c>
      <c r="O630" s="13">
        <v>-19.170000000000002</v>
      </c>
      <c r="P630" s="6">
        <v>18.940000000000001</v>
      </c>
      <c r="Q630" s="6">
        <v>3.28</v>
      </c>
      <c r="R630" s="13">
        <v>-0.13</v>
      </c>
      <c r="S630" s="6">
        <v>7.64</v>
      </c>
      <c r="T630" s="6">
        <v>6.52</v>
      </c>
      <c r="U630" s="13">
        <v>-6.16</v>
      </c>
    </row>
    <row r="631" spans="1:21" x14ac:dyDescent="0.2">
      <c r="A631" s="2" t="s">
        <v>257</v>
      </c>
      <c r="B631" s="2">
        <v>12.37</v>
      </c>
      <c r="C631" s="2">
        <v>14.36</v>
      </c>
      <c r="D631" s="2">
        <v>4.8899999999999997</v>
      </c>
      <c r="E631" s="9">
        <v>-9.81</v>
      </c>
      <c r="F631" s="2">
        <v>12.26</v>
      </c>
      <c r="G631" s="2">
        <v>0.91</v>
      </c>
      <c r="H631" s="2">
        <v>2.29</v>
      </c>
      <c r="I631" s="2">
        <v>2.77</v>
      </c>
      <c r="J631" s="2">
        <v>0.08</v>
      </c>
      <c r="K631" s="2">
        <v>0.47</v>
      </c>
      <c r="L631" s="2">
        <v>5.64</v>
      </c>
      <c r="M631" s="9">
        <v>-9.89</v>
      </c>
      <c r="N631" s="9">
        <v>-20.079999999999998</v>
      </c>
      <c r="O631" s="9">
        <v>-8.4</v>
      </c>
      <c r="P631" s="2">
        <v>15.23</v>
      </c>
      <c r="Q631" s="9">
        <v>-2.09</v>
      </c>
      <c r="R631" s="2">
        <v>7.62</v>
      </c>
      <c r="S631" s="2">
        <v>2.5099999999999998</v>
      </c>
      <c r="T631" s="2">
        <v>4.08</v>
      </c>
      <c r="U631" s="9">
        <v>-4.18</v>
      </c>
    </row>
    <row r="632" spans="1:21" x14ac:dyDescent="0.2">
      <c r="A632" s="7" t="s">
        <v>258</v>
      </c>
      <c r="B632" s="7">
        <v>157.61000000000001</v>
      </c>
      <c r="C632" s="7">
        <v>121.6</v>
      </c>
      <c r="D632" s="7">
        <v>76.239999999999995</v>
      </c>
      <c r="E632" s="7">
        <v>48.88</v>
      </c>
      <c r="F632" s="7">
        <v>65.53</v>
      </c>
      <c r="G632" s="7">
        <v>38.58</v>
      </c>
      <c r="H632" s="7">
        <v>38.770000000000003</v>
      </c>
      <c r="I632" s="7">
        <v>27.44</v>
      </c>
      <c r="J632" s="7">
        <v>22.17</v>
      </c>
      <c r="K632" s="7">
        <v>13.05</v>
      </c>
      <c r="L632" s="7">
        <v>63.87</v>
      </c>
      <c r="M632" s="7">
        <v>6.58</v>
      </c>
      <c r="N632" s="7">
        <v>25.29</v>
      </c>
      <c r="O632" s="7">
        <v>7.74</v>
      </c>
      <c r="P632" s="7">
        <v>69.03</v>
      </c>
      <c r="Q632" s="7">
        <v>36.18</v>
      </c>
      <c r="R632" s="7">
        <v>44.66</v>
      </c>
      <c r="S632" s="7">
        <v>37.85</v>
      </c>
      <c r="T632" s="7">
        <v>35.78</v>
      </c>
      <c r="U632" s="7">
        <v>12.27</v>
      </c>
    </row>
    <row r="633" spans="1:21" x14ac:dyDescent="0.2">
      <c r="A633" s="2" t="s">
        <v>35</v>
      </c>
      <c r="B633" s="2">
        <v>29.61</v>
      </c>
      <c r="C633" s="2">
        <v>59.5</v>
      </c>
      <c r="D633" s="2">
        <v>55.98</v>
      </c>
      <c r="E633" s="9">
        <v>-25.41</v>
      </c>
      <c r="F633" s="2">
        <v>69.84</v>
      </c>
      <c r="G633" s="9">
        <v>-0.48</v>
      </c>
      <c r="H633" s="2">
        <v>41.32</v>
      </c>
      <c r="I633" s="2">
        <v>23.77</v>
      </c>
      <c r="J633" s="2">
        <v>69.89</v>
      </c>
      <c r="K633" s="9">
        <v>-9.2100000000000009</v>
      </c>
      <c r="L633" s="9">
        <v>-7.47</v>
      </c>
      <c r="M633" s="9">
        <v>-81.81</v>
      </c>
      <c r="N633" s="9">
        <v>-43.36</v>
      </c>
      <c r="O633" s="9">
        <v>-79.55</v>
      </c>
      <c r="P633" s="2">
        <v>92.93</v>
      </c>
      <c r="Q633" s="2">
        <v>194.87</v>
      </c>
      <c r="R633" s="2">
        <v>25.1</v>
      </c>
      <c r="S633" s="2">
        <v>64.010000000000005</v>
      </c>
      <c r="T633" s="2">
        <v>51.01</v>
      </c>
      <c r="U633" s="2">
        <v>34.85</v>
      </c>
    </row>
    <row r="634" spans="1:21" x14ac:dyDescent="0.2">
      <c r="A634" s="7" t="s">
        <v>259</v>
      </c>
      <c r="B634" s="7" t="s">
        <v>1</v>
      </c>
      <c r="C634" s="7" t="s">
        <v>1</v>
      </c>
      <c r="D634" s="7" t="s">
        <v>1</v>
      </c>
      <c r="E634" s="7" t="s">
        <v>1</v>
      </c>
      <c r="F634" s="7" t="s">
        <v>1</v>
      </c>
      <c r="G634" s="7" t="s">
        <v>1</v>
      </c>
      <c r="H634" s="7" t="s">
        <v>1</v>
      </c>
      <c r="I634" s="7" t="s">
        <v>1</v>
      </c>
      <c r="J634" s="7" t="s">
        <v>1</v>
      </c>
      <c r="K634" s="7" t="s">
        <v>1</v>
      </c>
      <c r="L634" s="7" t="s">
        <v>1</v>
      </c>
      <c r="M634" s="7" t="s">
        <v>1</v>
      </c>
      <c r="N634" s="7" t="s">
        <v>1</v>
      </c>
      <c r="O634" s="7" t="s">
        <v>1</v>
      </c>
      <c r="P634" s="7" t="s">
        <v>1</v>
      </c>
      <c r="Q634" s="7" t="s">
        <v>1</v>
      </c>
      <c r="R634" s="7" t="s">
        <v>1</v>
      </c>
      <c r="S634" s="7" t="s">
        <v>1</v>
      </c>
      <c r="T634" s="7" t="s">
        <v>1</v>
      </c>
      <c r="U634" s="7" t="s">
        <v>1</v>
      </c>
    </row>
    <row r="635" spans="1:21" x14ac:dyDescent="0.2">
      <c r="A635" s="11" t="s">
        <v>138</v>
      </c>
      <c r="B635" s="11">
        <v>-51.93</v>
      </c>
      <c r="C635" s="11">
        <v>-40.83</v>
      </c>
      <c r="D635" s="11">
        <v>-23.94</v>
      </c>
      <c r="E635" s="11">
        <v>-28.02</v>
      </c>
      <c r="F635" s="11">
        <v>-6.05</v>
      </c>
      <c r="G635" s="11">
        <v>-22.49</v>
      </c>
      <c r="H635" s="11">
        <v>-3.98</v>
      </c>
      <c r="I635" s="11">
        <v>-2.54</v>
      </c>
      <c r="J635" s="11">
        <v>-2.06</v>
      </c>
      <c r="K635" s="11">
        <v>-1.92</v>
      </c>
      <c r="L635" s="11">
        <v>-2.2200000000000002</v>
      </c>
      <c r="M635" s="11">
        <v>-14.36</v>
      </c>
      <c r="N635" s="11">
        <v>-8.02</v>
      </c>
      <c r="O635" s="11">
        <v>-16.350000000000001</v>
      </c>
      <c r="P635" s="11">
        <v>-14.12</v>
      </c>
      <c r="Q635" s="11">
        <v>-10.3</v>
      </c>
      <c r="R635" s="11">
        <v>-11.16</v>
      </c>
      <c r="S635" s="11">
        <v>-12.54</v>
      </c>
      <c r="T635" s="11">
        <v>-11.29</v>
      </c>
      <c r="U635" s="11">
        <v>-12.68</v>
      </c>
    </row>
    <row r="636" spans="1:21" x14ac:dyDescent="0.2">
      <c r="A636" s="6" t="s">
        <v>260</v>
      </c>
      <c r="B636" s="13">
        <v>-51.93</v>
      </c>
      <c r="C636" s="13">
        <v>-40.83</v>
      </c>
      <c r="D636" s="13">
        <v>-23.94</v>
      </c>
      <c r="E636" s="13">
        <v>-28.02</v>
      </c>
      <c r="F636" s="13">
        <v>-6.05</v>
      </c>
      <c r="G636" s="13">
        <v>-22.49</v>
      </c>
      <c r="H636" s="13">
        <v>-3.98</v>
      </c>
      <c r="I636" s="13">
        <v>-2.54</v>
      </c>
      <c r="J636" s="13">
        <v>-2.06</v>
      </c>
      <c r="K636" s="13">
        <v>-1.92</v>
      </c>
      <c r="L636" s="13">
        <v>-2.2200000000000002</v>
      </c>
      <c r="M636" s="13">
        <v>-14.36</v>
      </c>
      <c r="N636" s="13">
        <v>-8.02</v>
      </c>
      <c r="O636" s="13">
        <v>-16.350000000000001</v>
      </c>
      <c r="P636" s="13">
        <v>-14.12</v>
      </c>
      <c r="Q636" s="13">
        <v>-10.3</v>
      </c>
      <c r="R636" s="13">
        <v>-11.16</v>
      </c>
      <c r="S636" s="13">
        <v>-12.54</v>
      </c>
      <c r="T636" s="13">
        <v>-11.29</v>
      </c>
      <c r="U636" s="13">
        <v>-12.68</v>
      </c>
    </row>
    <row r="637" spans="1:21" x14ac:dyDescent="0.2">
      <c r="A637" s="2" t="s">
        <v>324</v>
      </c>
      <c r="B637" s="9">
        <v>-14.05</v>
      </c>
      <c r="C637" s="9">
        <v>-10.83</v>
      </c>
      <c r="D637" s="9">
        <v>-7.81</v>
      </c>
      <c r="E637" s="9">
        <v>-4.88</v>
      </c>
      <c r="F637" s="9">
        <v>-6.74</v>
      </c>
      <c r="G637" s="9">
        <v>-1.25</v>
      </c>
      <c r="H637" s="9">
        <v>-6.52</v>
      </c>
      <c r="I637" s="9">
        <v>-3.95</v>
      </c>
      <c r="J637" s="15" t="s">
        <v>59</v>
      </c>
      <c r="K637" s="15" t="s">
        <v>59</v>
      </c>
      <c r="L637" s="2">
        <v>0</v>
      </c>
      <c r="M637" s="9">
        <v>-9.2200000000000006</v>
      </c>
      <c r="N637" s="2">
        <v>0</v>
      </c>
      <c r="O637" s="2">
        <v>0</v>
      </c>
      <c r="P637" s="9">
        <v>-10.76</v>
      </c>
      <c r="Q637" s="9">
        <v>-3.29</v>
      </c>
      <c r="R637" s="2">
        <v>0</v>
      </c>
      <c r="S637" s="9">
        <v>-6.44</v>
      </c>
      <c r="T637" s="2">
        <v>0</v>
      </c>
      <c r="U637" s="9">
        <v>-4.4000000000000004</v>
      </c>
    </row>
    <row r="638" spans="1:21" x14ac:dyDescent="0.2">
      <c r="A638" s="6" t="s">
        <v>261</v>
      </c>
      <c r="B638" s="6">
        <v>4</v>
      </c>
      <c r="C638" s="6">
        <v>0.32</v>
      </c>
      <c r="D638" s="6">
        <v>4.0599999999999996</v>
      </c>
      <c r="E638" s="6">
        <v>7.21</v>
      </c>
      <c r="F638" s="6">
        <v>4.8</v>
      </c>
      <c r="G638" s="6">
        <v>0</v>
      </c>
      <c r="H638" s="6">
        <v>0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6">
        <v>17.329999999999998</v>
      </c>
      <c r="O638" s="6">
        <v>4</v>
      </c>
      <c r="P638" s="6">
        <v>0</v>
      </c>
      <c r="Q638" s="6">
        <v>0</v>
      </c>
      <c r="R638" s="6">
        <v>0</v>
      </c>
      <c r="S638" s="6">
        <v>0.32</v>
      </c>
      <c r="T638" s="6">
        <v>0</v>
      </c>
      <c r="U638" s="6">
        <v>0</v>
      </c>
    </row>
    <row r="639" spans="1:21" x14ac:dyDescent="0.2">
      <c r="A639" s="11" t="s">
        <v>262</v>
      </c>
      <c r="B639" s="11">
        <v>-0.5</v>
      </c>
      <c r="C639" s="11">
        <v>-0.81</v>
      </c>
      <c r="D639" s="11">
        <v>-1</v>
      </c>
      <c r="E639" s="11">
        <v>-4.16</v>
      </c>
      <c r="F639" s="11">
        <v>0</v>
      </c>
      <c r="G639" s="11">
        <v>0</v>
      </c>
      <c r="H639" s="11">
        <v>0</v>
      </c>
      <c r="I639" s="11">
        <v>0</v>
      </c>
      <c r="J639" s="11">
        <v>0</v>
      </c>
      <c r="K639" s="11">
        <v>0</v>
      </c>
      <c r="L639" s="11">
        <v>0</v>
      </c>
      <c r="M639" s="11">
        <v>0</v>
      </c>
      <c r="N639" s="11">
        <v>31.19</v>
      </c>
      <c r="O639" s="11">
        <v>0</v>
      </c>
      <c r="P639" s="11">
        <v>0</v>
      </c>
      <c r="Q639" s="11">
        <v>0</v>
      </c>
      <c r="R639" s="11">
        <v>-0.5</v>
      </c>
      <c r="S639" s="11">
        <v>0</v>
      </c>
      <c r="T639" s="11">
        <v>0</v>
      </c>
      <c r="U639" s="11">
        <v>-0.81</v>
      </c>
    </row>
    <row r="640" spans="1:21" x14ac:dyDescent="0.2">
      <c r="A640" s="6" t="s">
        <v>263</v>
      </c>
      <c r="B640" s="6">
        <v>0.5</v>
      </c>
      <c r="C640" s="6">
        <v>0.81</v>
      </c>
      <c r="D640" s="6">
        <v>1</v>
      </c>
      <c r="E640" s="6">
        <v>4.16</v>
      </c>
      <c r="F640" s="6">
        <v>0</v>
      </c>
      <c r="G640" s="6">
        <v>0</v>
      </c>
      <c r="H640" s="6">
        <v>0</v>
      </c>
      <c r="I640" s="6">
        <v>0</v>
      </c>
      <c r="J640" s="16" t="s">
        <v>59</v>
      </c>
      <c r="K640" s="16" t="s">
        <v>59</v>
      </c>
      <c r="L640" s="6">
        <v>0</v>
      </c>
      <c r="M640" s="6">
        <v>0</v>
      </c>
      <c r="N640" s="6">
        <v>76.510000000000005</v>
      </c>
      <c r="O640" s="6">
        <v>0</v>
      </c>
      <c r="P640" s="6">
        <v>0</v>
      </c>
      <c r="Q640" s="6">
        <v>0</v>
      </c>
      <c r="R640" s="6">
        <v>0.5</v>
      </c>
      <c r="S640" s="6">
        <v>0</v>
      </c>
      <c r="T640" s="6">
        <v>0</v>
      </c>
      <c r="U640" s="6">
        <v>0.81</v>
      </c>
    </row>
    <row r="641" spans="1:21" x14ac:dyDescent="0.2">
      <c r="A641" s="2" t="s">
        <v>264</v>
      </c>
      <c r="B641" s="2">
        <v>0</v>
      </c>
      <c r="C641" s="2">
        <v>0</v>
      </c>
      <c r="D641" s="2">
        <v>0</v>
      </c>
      <c r="E641" s="2">
        <v>0</v>
      </c>
      <c r="F641" s="2">
        <v>0</v>
      </c>
      <c r="G641" s="2">
        <v>0</v>
      </c>
      <c r="H641" s="2">
        <v>0</v>
      </c>
      <c r="I641" s="2">
        <v>0</v>
      </c>
      <c r="J641" s="2">
        <v>0</v>
      </c>
      <c r="K641" s="2">
        <v>0</v>
      </c>
      <c r="L641" s="2">
        <v>0</v>
      </c>
      <c r="M641" s="2">
        <v>0</v>
      </c>
      <c r="N641" s="2">
        <v>107.7</v>
      </c>
      <c r="O641" s="2">
        <v>0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0</v>
      </c>
    </row>
    <row r="642" spans="1:21" x14ac:dyDescent="0.2">
      <c r="A642" s="7" t="s">
        <v>265</v>
      </c>
      <c r="B642" s="7">
        <v>-62.48</v>
      </c>
      <c r="C642" s="7">
        <v>-52.15</v>
      </c>
      <c r="D642" s="7">
        <v>-28.68</v>
      </c>
      <c r="E642" s="7">
        <v>-29.85</v>
      </c>
      <c r="F642" s="7">
        <v>-7.99</v>
      </c>
      <c r="G642" s="7">
        <v>-23.73</v>
      </c>
      <c r="H642" s="7">
        <v>-10.5</v>
      </c>
      <c r="I642" s="7">
        <v>-6.48</v>
      </c>
      <c r="J642" s="7">
        <v>-2.06</v>
      </c>
      <c r="K642" s="7">
        <v>-1.92</v>
      </c>
      <c r="L642" s="7">
        <v>-2.2200000000000002</v>
      </c>
      <c r="M642" s="7">
        <v>-23.58</v>
      </c>
      <c r="N642" s="7">
        <v>40.5</v>
      </c>
      <c r="O642" s="7">
        <v>-12.35</v>
      </c>
      <c r="P642" s="7">
        <v>-24.87</v>
      </c>
      <c r="Q642" s="7">
        <v>-13.59</v>
      </c>
      <c r="R642" s="7">
        <v>-11.66</v>
      </c>
      <c r="S642" s="7">
        <v>-18.649999999999999</v>
      </c>
      <c r="T642" s="7">
        <v>-11.29</v>
      </c>
      <c r="U642" s="7">
        <v>-17.89</v>
      </c>
    </row>
    <row r="643" spans="1:21" x14ac:dyDescent="0.2">
      <c r="A643" s="2" t="s">
        <v>35</v>
      </c>
      <c r="B643" s="9">
        <v>-19.8</v>
      </c>
      <c r="C643" s="9">
        <v>-81.83</v>
      </c>
      <c r="D643" s="2">
        <v>3.92</v>
      </c>
      <c r="E643" s="9">
        <v>-273.77</v>
      </c>
      <c r="F643" s="2">
        <v>66.34</v>
      </c>
      <c r="G643" s="9">
        <v>-126.05</v>
      </c>
      <c r="H643" s="9">
        <v>-61.91</v>
      </c>
      <c r="I643" s="9">
        <v>-215.37</v>
      </c>
      <c r="J643" s="9">
        <v>-7.36</v>
      </c>
      <c r="K643" s="9">
        <v>-427.55</v>
      </c>
      <c r="L643" s="2">
        <v>91.07</v>
      </c>
      <c r="M643" s="9">
        <v>-73.47</v>
      </c>
      <c r="N643" s="15" t="s">
        <v>59</v>
      </c>
      <c r="O643" s="2">
        <v>33.770000000000003</v>
      </c>
      <c r="P643" s="9">
        <v>-120.24</v>
      </c>
      <c r="Q643" s="2">
        <v>24.01</v>
      </c>
      <c r="R643" s="9">
        <v>-169.92</v>
      </c>
      <c r="S643" s="9">
        <v>-54.84</v>
      </c>
      <c r="T643" s="9">
        <v>-49.02</v>
      </c>
      <c r="U643" s="9">
        <v>-321.47000000000003</v>
      </c>
    </row>
    <row r="644" spans="1:21" x14ac:dyDescent="0.2">
      <c r="A644" s="7" t="s">
        <v>266</v>
      </c>
      <c r="B644" s="7" t="s">
        <v>1</v>
      </c>
      <c r="C644" s="7" t="s">
        <v>1</v>
      </c>
      <c r="D644" s="7" t="s">
        <v>1</v>
      </c>
      <c r="E644" s="7" t="s">
        <v>1</v>
      </c>
      <c r="F644" s="7" t="s">
        <v>1</v>
      </c>
      <c r="G644" s="7" t="s">
        <v>1</v>
      </c>
      <c r="H644" s="7" t="s">
        <v>1</v>
      </c>
      <c r="I644" s="7" t="s">
        <v>1</v>
      </c>
      <c r="J644" s="7" t="s">
        <v>1</v>
      </c>
      <c r="K644" s="7" t="s">
        <v>1</v>
      </c>
      <c r="L644" s="7" t="s">
        <v>1</v>
      </c>
      <c r="M644" s="7" t="s">
        <v>1</v>
      </c>
      <c r="N644" s="7" t="s">
        <v>1</v>
      </c>
      <c r="O644" s="7" t="s">
        <v>1</v>
      </c>
      <c r="P644" s="7" t="s">
        <v>1</v>
      </c>
      <c r="Q644" s="7" t="s">
        <v>1</v>
      </c>
      <c r="R644" s="7" t="s">
        <v>1</v>
      </c>
      <c r="S644" s="7" t="s">
        <v>1</v>
      </c>
      <c r="T644" s="7" t="s">
        <v>1</v>
      </c>
      <c r="U644" s="7" t="s">
        <v>1</v>
      </c>
    </row>
    <row r="645" spans="1:21" x14ac:dyDescent="0.2">
      <c r="A645" s="11" t="s">
        <v>304</v>
      </c>
      <c r="B645" s="11">
        <v>-28.87</v>
      </c>
      <c r="C645" s="11">
        <v>-24.91</v>
      </c>
      <c r="D645" s="11">
        <v>-141.28</v>
      </c>
      <c r="E645" s="11">
        <v>-19.82</v>
      </c>
      <c r="F645" s="11">
        <v>-163.79</v>
      </c>
      <c r="G645" s="11">
        <v>-11.74</v>
      </c>
      <c r="H645" s="11">
        <v>-190.74</v>
      </c>
      <c r="I645" s="11">
        <v>-4.07</v>
      </c>
      <c r="J645" s="11">
        <v>-83.27</v>
      </c>
      <c r="K645" s="11">
        <v>-48</v>
      </c>
      <c r="L645" s="11">
        <v>-8.3800000000000008</v>
      </c>
      <c r="M645" s="11">
        <v>-7.59</v>
      </c>
      <c r="N645" s="11">
        <v>-8.0500000000000007</v>
      </c>
      <c r="O645" s="11">
        <v>-7.89</v>
      </c>
      <c r="P645" s="11">
        <v>-7.9</v>
      </c>
      <c r="Q645" s="11">
        <v>-6.47</v>
      </c>
      <c r="R645" s="11">
        <v>-6.61</v>
      </c>
      <c r="S645" s="11">
        <v>-6.47</v>
      </c>
      <c r="T645" s="11">
        <v>-6.6</v>
      </c>
      <c r="U645" s="11">
        <v>-5.76</v>
      </c>
    </row>
    <row r="646" spans="1:21" x14ac:dyDescent="0.2">
      <c r="A646" s="6" t="s">
        <v>305</v>
      </c>
      <c r="B646" s="13">
        <v>-28.87</v>
      </c>
      <c r="C646" s="13">
        <v>-24.91</v>
      </c>
      <c r="D646" s="13">
        <v>-141.28</v>
      </c>
      <c r="E646" s="13">
        <v>-19.82</v>
      </c>
      <c r="F646" s="13">
        <v>-163.79</v>
      </c>
      <c r="G646" s="13">
        <v>-11.74</v>
      </c>
      <c r="H646" s="13">
        <v>-190.74</v>
      </c>
      <c r="I646" s="13">
        <v>-4.07</v>
      </c>
      <c r="J646" s="13">
        <v>-83.27</v>
      </c>
      <c r="K646" s="13">
        <v>-48</v>
      </c>
      <c r="L646" s="13">
        <v>-8.3800000000000008</v>
      </c>
      <c r="M646" s="13">
        <v>-7.59</v>
      </c>
      <c r="N646" s="13">
        <v>-8.0500000000000007</v>
      </c>
      <c r="O646" s="13">
        <v>-7.89</v>
      </c>
      <c r="P646" s="13">
        <v>-7.9</v>
      </c>
      <c r="Q646" s="13">
        <v>-6.47</v>
      </c>
      <c r="R646" s="13">
        <v>-6.61</v>
      </c>
      <c r="S646" s="13">
        <v>-6.47</v>
      </c>
      <c r="T646" s="13">
        <v>-6.6</v>
      </c>
      <c r="U646" s="13">
        <v>-5.76</v>
      </c>
    </row>
    <row r="647" spans="1:21" x14ac:dyDescent="0.2">
      <c r="A647" s="11" t="s">
        <v>267</v>
      </c>
      <c r="B647" s="11">
        <v>-313.11</v>
      </c>
      <c r="C647" s="11">
        <v>-124.45</v>
      </c>
      <c r="D647" s="11">
        <v>3.32</v>
      </c>
      <c r="E647" s="11">
        <v>0.75</v>
      </c>
      <c r="F647" s="11">
        <v>0.93</v>
      </c>
      <c r="G647" s="11">
        <v>0.69</v>
      </c>
      <c r="H647" s="11">
        <v>0.52</v>
      </c>
      <c r="I647" s="11">
        <v>1.32</v>
      </c>
      <c r="J647" s="11">
        <v>0.49</v>
      </c>
      <c r="K647" s="11">
        <v>35.47</v>
      </c>
      <c r="L647" s="11">
        <v>-39.71</v>
      </c>
      <c r="M647" s="11">
        <v>0.86</v>
      </c>
      <c r="N647" s="11">
        <v>-120.77</v>
      </c>
      <c r="O647" s="11">
        <v>-250.15</v>
      </c>
      <c r="P647" s="11">
        <v>-34.99</v>
      </c>
      <c r="Q647" s="11">
        <v>-28.67</v>
      </c>
      <c r="R647" s="11">
        <v>0.71</v>
      </c>
      <c r="S647" s="11">
        <v>0.06</v>
      </c>
      <c r="T647" s="11">
        <v>-124.98</v>
      </c>
      <c r="U647" s="11">
        <v>0.36</v>
      </c>
    </row>
    <row r="648" spans="1:21" x14ac:dyDescent="0.2">
      <c r="A648" s="6" t="s">
        <v>268</v>
      </c>
      <c r="B648" s="13">
        <v>-314.66000000000003</v>
      </c>
      <c r="C648" s="13">
        <v>-125.4</v>
      </c>
      <c r="D648" s="6">
        <v>0</v>
      </c>
      <c r="E648" s="6">
        <v>0</v>
      </c>
      <c r="F648" s="6">
        <v>0</v>
      </c>
      <c r="G648" s="6">
        <v>0</v>
      </c>
      <c r="H648" s="6">
        <v>0</v>
      </c>
      <c r="I648" s="6">
        <v>0</v>
      </c>
      <c r="J648" s="6">
        <v>0</v>
      </c>
      <c r="K648" s="6">
        <v>0</v>
      </c>
      <c r="L648" s="13">
        <v>-39.97</v>
      </c>
      <c r="M648" s="6">
        <v>0</v>
      </c>
      <c r="N648" s="13">
        <v>-120.77</v>
      </c>
      <c r="O648" s="13">
        <v>-250.45</v>
      </c>
      <c r="P648" s="13">
        <v>-34.99</v>
      </c>
      <c r="Q648" s="13">
        <v>-29.22</v>
      </c>
      <c r="R648" s="6">
        <v>0</v>
      </c>
      <c r="S648" s="13">
        <v>-0.15</v>
      </c>
      <c r="T648" s="13">
        <v>-125.25</v>
      </c>
      <c r="U648" s="6">
        <v>0</v>
      </c>
    </row>
    <row r="649" spans="1:21" x14ac:dyDescent="0.2">
      <c r="A649" s="11" t="s">
        <v>269</v>
      </c>
      <c r="B649" s="11">
        <v>1.56</v>
      </c>
      <c r="C649" s="11">
        <v>0.95</v>
      </c>
      <c r="D649" s="11">
        <v>3.32</v>
      </c>
      <c r="E649" s="11">
        <v>0.75</v>
      </c>
      <c r="F649" s="11">
        <v>0.93</v>
      </c>
      <c r="G649" s="11">
        <v>0.69</v>
      </c>
      <c r="H649" s="11">
        <v>0.52</v>
      </c>
      <c r="I649" s="11">
        <v>1.32</v>
      </c>
      <c r="J649" s="11">
        <v>0.49</v>
      </c>
      <c r="K649" s="11">
        <v>35.47</v>
      </c>
      <c r="L649" s="11">
        <v>0.26</v>
      </c>
      <c r="M649" s="11">
        <v>0.86</v>
      </c>
      <c r="N649" s="11">
        <v>0</v>
      </c>
      <c r="O649" s="11">
        <v>0.3</v>
      </c>
      <c r="P649" s="11">
        <v>0</v>
      </c>
      <c r="Q649" s="11">
        <v>0.55000000000000004</v>
      </c>
      <c r="R649" s="11">
        <v>0.71</v>
      </c>
      <c r="S649" s="11">
        <v>0.21</v>
      </c>
      <c r="T649" s="11">
        <v>0.27</v>
      </c>
      <c r="U649" s="11">
        <v>0.36</v>
      </c>
    </row>
    <row r="650" spans="1:21" x14ac:dyDescent="0.2">
      <c r="A650" s="6" t="s">
        <v>270</v>
      </c>
      <c r="B650" s="6">
        <v>0</v>
      </c>
      <c r="C650" s="6">
        <v>0</v>
      </c>
      <c r="D650" s="6">
        <v>0</v>
      </c>
      <c r="E650" s="6">
        <v>0</v>
      </c>
      <c r="F650" s="6">
        <v>0</v>
      </c>
      <c r="G650" s="6">
        <v>0</v>
      </c>
      <c r="H650" s="6">
        <v>0</v>
      </c>
      <c r="I650" s="6">
        <v>0</v>
      </c>
      <c r="J650" s="6">
        <v>0</v>
      </c>
      <c r="K650" s="6">
        <v>34.99</v>
      </c>
      <c r="L650" s="6">
        <v>0</v>
      </c>
      <c r="M650" s="6">
        <v>0</v>
      </c>
      <c r="N650" s="6">
        <v>0</v>
      </c>
      <c r="O650" s="6">
        <v>0</v>
      </c>
      <c r="P650" s="6">
        <v>0</v>
      </c>
      <c r="Q650" s="6">
        <v>0</v>
      </c>
      <c r="R650" s="6">
        <v>0</v>
      </c>
      <c r="S650" s="6">
        <v>0</v>
      </c>
      <c r="T650" s="6">
        <v>0</v>
      </c>
      <c r="U650" s="6">
        <v>0</v>
      </c>
    </row>
    <row r="651" spans="1:21" x14ac:dyDescent="0.2">
      <c r="A651" s="2" t="s">
        <v>306</v>
      </c>
      <c r="B651" s="2">
        <v>1.56</v>
      </c>
      <c r="C651" s="2">
        <v>0.95</v>
      </c>
      <c r="D651" s="2">
        <v>3.32</v>
      </c>
      <c r="E651" s="2">
        <v>0.75</v>
      </c>
      <c r="F651" s="2">
        <v>0.93</v>
      </c>
      <c r="G651" s="2">
        <v>0.69</v>
      </c>
      <c r="H651" s="2">
        <v>0.52</v>
      </c>
      <c r="I651" s="2">
        <v>1.32</v>
      </c>
      <c r="J651" s="2">
        <v>0.49</v>
      </c>
      <c r="K651" s="2">
        <v>0.48</v>
      </c>
      <c r="L651" s="2">
        <v>0.26</v>
      </c>
      <c r="M651" s="2">
        <v>0.86</v>
      </c>
      <c r="N651" s="2">
        <v>0</v>
      </c>
      <c r="O651" s="2">
        <v>0.3</v>
      </c>
      <c r="P651" s="2">
        <v>0</v>
      </c>
      <c r="Q651" s="2">
        <v>0.55000000000000004</v>
      </c>
      <c r="R651" s="2">
        <v>0.71</v>
      </c>
      <c r="S651" s="2">
        <v>0.21</v>
      </c>
      <c r="T651" s="2">
        <v>0.27</v>
      </c>
      <c r="U651" s="2">
        <v>0.36</v>
      </c>
    </row>
    <row r="652" spans="1:21" x14ac:dyDescent="0.2">
      <c r="A652" s="7" t="s">
        <v>307</v>
      </c>
      <c r="B652" s="7">
        <v>491.17</v>
      </c>
      <c r="C652" s="7">
        <v>-3.65</v>
      </c>
      <c r="D652" s="7">
        <v>241.53</v>
      </c>
      <c r="E652" s="7">
        <v>-2.4</v>
      </c>
      <c r="F652" s="7">
        <v>143.76</v>
      </c>
      <c r="G652" s="7">
        <v>-2.42</v>
      </c>
      <c r="H652" s="7">
        <v>176.68</v>
      </c>
      <c r="I652" s="7">
        <v>-17.5</v>
      </c>
      <c r="J652" s="7">
        <v>54.57</v>
      </c>
      <c r="K652" s="7">
        <v>1.56</v>
      </c>
      <c r="L652" s="7">
        <v>0</v>
      </c>
      <c r="M652" s="7">
        <v>0</v>
      </c>
      <c r="N652" s="7">
        <v>0</v>
      </c>
      <c r="O652" s="7">
        <v>491.17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-1.83</v>
      </c>
    </row>
    <row r="653" spans="1:21" x14ac:dyDescent="0.2">
      <c r="A653" s="11" t="s">
        <v>308</v>
      </c>
      <c r="B653" s="11">
        <v>491.17</v>
      </c>
      <c r="C653" s="11">
        <v>-3.65</v>
      </c>
      <c r="D653" s="11">
        <v>241.53</v>
      </c>
      <c r="E653" s="11">
        <v>-2.4</v>
      </c>
      <c r="F653" s="11">
        <v>143.76</v>
      </c>
      <c r="G653" s="11">
        <v>-2.42</v>
      </c>
      <c r="H653" s="11">
        <v>176.68</v>
      </c>
      <c r="I653" s="11">
        <v>-17.5</v>
      </c>
      <c r="J653" s="11">
        <v>54.57</v>
      </c>
      <c r="K653" s="11">
        <v>1.56</v>
      </c>
      <c r="L653" s="11">
        <v>0</v>
      </c>
      <c r="M653" s="11">
        <v>0</v>
      </c>
      <c r="N653" s="11">
        <v>0</v>
      </c>
      <c r="O653" s="11">
        <v>491.17</v>
      </c>
      <c r="P653" s="11">
        <v>0</v>
      </c>
      <c r="Q653" s="11">
        <v>0</v>
      </c>
      <c r="R653" s="11">
        <v>0</v>
      </c>
      <c r="S653" s="11">
        <v>0</v>
      </c>
      <c r="T653" s="11">
        <v>0</v>
      </c>
      <c r="U653" s="11">
        <v>-1.83</v>
      </c>
    </row>
    <row r="654" spans="1:21" x14ac:dyDescent="0.2">
      <c r="A654" s="6" t="s">
        <v>309</v>
      </c>
      <c r="B654" s="6">
        <v>491.17</v>
      </c>
      <c r="C654" s="6">
        <v>0</v>
      </c>
      <c r="D654" s="6">
        <v>244.56</v>
      </c>
      <c r="E654" s="6">
        <v>0</v>
      </c>
      <c r="F654" s="6">
        <v>477.36</v>
      </c>
      <c r="G654" s="6">
        <v>4.99</v>
      </c>
      <c r="H654" s="6">
        <v>541.54</v>
      </c>
      <c r="I654" s="6">
        <v>3.5</v>
      </c>
      <c r="J654" s="6">
        <v>163.82</v>
      </c>
      <c r="K654" s="6">
        <v>39.770000000000003</v>
      </c>
      <c r="L654" s="6">
        <v>0</v>
      </c>
      <c r="M654" s="6">
        <v>0</v>
      </c>
      <c r="N654" s="6">
        <v>0</v>
      </c>
      <c r="O654" s="6">
        <v>491.17</v>
      </c>
      <c r="P654" s="6">
        <v>0</v>
      </c>
      <c r="Q654" s="6">
        <v>0</v>
      </c>
      <c r="R654" s="6">
        <v>0</v>
      </c>
      <c r="S654" s="6">
        <v>0</v>
      </c>
      <c r="T654" s="6">
        <v>0</v>
      </c>
      <c r="U654" s="6">
        <v>0</v>
      </c>
    </row>
    <row r="655" spans="1:21" x14ac:dyDescent="0.2">
      <c r="A655" s="2" t="s">
        <v>310</v>
      </c>
      <c r="B655" s="2">
        <v>0</v>
      </c>
      <c r="C655" s="9">
        <v>-3.65</v>
      </c>
      <c r="D655" s="9">
        <v>-3.03</v>
      </c>
      <c r="E655" s="9">
        <v>-2.4</v>
      </c>
      <c r="F655" s="9">
        <v>-333.6</v>
      </c>
      <c r="G655" s="9">
        <v>-7.4</v>
      </c>
      <c r="H655" s="9">
        <v>-364.86</v>
      </c>
      <c r="I655" s="9">
        <v>-21</v>
      </c>
      <c r="J655" s="9">
        <v>-109.25</v>
      </c>
      <c r="K655" s="9">
        <v>-38.22</v>
      </c>
      <c r="L655" s="2">
        <v>0</v>
      </c>
      <c r="M655" s="2">
        <v>0</v>
      </c>
      <c r="N655" s="2">
        <v>0</v>
      </c>
      <c r="O655" s="2">
        <v>0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9">
        <v>-1.83</v>
      </c>
    </row>
    <row r="656" spans="1:21" x14ac:dyDescent="0.2">
      <c r="A656" s="7" t="s">
        <v>252</v>
      </c>
      <c r="B656" s="7">
        <v>-4.43</v>
      </c>
      <c r="C656" s="7">
        <v>-2.48</v>
      </c>
      <c r="D656" s="7">
        <v>-0.32</v>
      </c>
      <c r="E656" s="7">
        <v>-1.92</v>
      </c>
      <c r="F656" s="7">
        <v>-0.34</v>
      </c>
      <c r="G656" s="7">
        <v>-1.1499999999999999</v>
      </c>
      <c r="H656" s="7">
        <v>-0.18</v>
      </c>
      <c r="I656" s="7">
        <v>0</v>
      </c>
      <c r="J656" s="7">
        <v>1.1599999999999999</v>
      </c>
      <c r="K656" s="7">
        <v>0.81</v>
      </c>
      <c r="L656" s="7">
        <v>-0.16</v>
      </c>
      <c r="M656" s="7">
        <v>-2</v>
      </c>
      <c r="N656" s="7">
        <v>-11.6</v>
      </c>
      <c r="O656" s="7">
        <v>-0.08</v>
      </c>
      <c r="P656" s="7">
        <v>-0.23</v>
      </c>
      <c r="Q656" s="7">
        <v>-0.4</v>
      </c>
      <c r="R656" s="7">
        <v>-3.72</v>
      </c>
      <c r="S656" s="7">
        <v>-0.05</v>
      </c>
      <c r="T656" s="7">
        <v>-7.0000000000000007E-2</v>
      </c>
      <c r="U656" s="7">
        <v>-7.0000000000000007E-2</v>
      </c>
    </row>
    <row r="657" spans="1:21" x14ac:dyDescent="0.2">
      <c r="A657" s="2" t="s">
        <v>271</v>
      </c>
      <c r="B657" s="9">
        <v>-4.43</v>
      </c>
      <c r="C657" s="9">
        <v>-2.48</v>
      </c>
      <c r="D657" s="9">
        <v>-0.32</v>
      </c>
      <c r="E657" s="9">
        <v>-1.92</v>
      </c>
      <c r="F657" s="9">
        <v>-0.34</v>
      </c>
      <c r="G657" s="9">
        <v>-1.1499999999999999</v>
      </c>
      <c r="H657" s="9">
        <v>-0.18</v>
      </c>
      <c r="I657" s="2">
        <v>0</v>
      </c>
      <c r="J657" s="2">
        <v>0</v>
      </c>
      <c r="K657" s="2">
        <v>0</v>
      </c>
      <c r="L657" s="9">
        <v>-0.16</v>
      </c>
      <c r="M657" s="9">
        <v>-2</v>
      </c>
      <c r="N657" s="9">
        <v>-11.6</v>
      </c>
      <c r="O657" s="9">
        <v>-0.08</v>
      </c>
      <c r="P657" s="9">
        <v>-0.23</v>
      </c>
      <c r="Q657" s="9">
        <v>-0.4</v>
      </c>
      <c r="R657" s="9">
        <v>-3.72</v>
      </c>
      <c r="S657" s="9">
        <v>-0.05</v>
      </c>
      <c r="T657" s="9">
        <v>-7.0000000000000007E-2</v>
      </c>
      <c r="U657" s="9">
        <v>-7.0000000000000007E-2</v>
      </c>
    </row>
    <row r="658" spans="1:21" x14ac:dyDescent="0.2">
      <c r="A658" s="6" t="s">
        <v>272</v>
      </c>
      <c r="B658" s="6">
        <v>0</v>
      </c>
      <c r="C658" s="6">
        <v>0</v>
      </c>
      <c r="D658" s="6">
        <v>0</v>
      </c>
      <c r="E658" s="6">
        <v>0</v>
      </c>
      <c r="F658" s="6">
        <v>0</v>
      </c>
      <c r="G658" s="6">
        <v>0</v>
      </c>
      <c r="H658" s="6">
        <v>0</v>
      </c>
      <c r="I658" s="6">
        <v>0</v>
      </c>
      <c r="J658" s="6">
        <v>1.1599999999999999</v>
      </c>
      <c r="K658" s="6">
        <v>0.81</v>
      </c>
      <c r="L658" s="6">
        <v>0</v>
      </c>
      <c r="M658" s="6">
        <v>0</v>
      </c>
      <c r="N658" s="6">
        <v>0</v>
      </c>
      <c r="O658" s="6">
        <v>0</v>
      </c>
      <c r="P658" s="6">
        <v>0</v>
      </c>
      <c r="Q658" s="6">
        <v>0</v>
      </c>
      <c r="R658" s="6">
        <v>0</v>
      </c>
      <c r="S658" s="6">
        <v>0</v>
      </c>
      <c r="T658" s="6">
        <v>0</v>
      </c>
      <c r="U658" s="6">
        <v>0</v>
      </c>
    </row>
    <row r="659" spans="1:21" x14ac:dyDescent="0.2">
      <c r="A659" s="11" t="s">
        <v>273</v>
      </c>
      <c r="B659" s="11">
        <v>144.77000000000001</v>
      </c>
      <c r="C659" s="11">
        <v>-155.49</v>
      </c>
      <c r="D659" s="11">
        <v>103.25</v>
      </c>
      <c r="E659" s="11">
        <v>-23.39</v>
      </c>
      <c r="F659" s="11">
        <v>-19.45</v>
      </c>
      <c r="G659" s="11">
        <v>-14.62</v>
      </c>
      <c r="H659" s="11">
        <v>-13.72</v>
      </c>
      <c r="I659" s="11">
        <v>-20.25</v>
      </c>
      <c r="J659" s="11">
        <v>-27.05</v>
      </c>
      <c r="K659" s="11">
        <v>-10.17</v>
      </c>
      <c r="L659" s="11">
        <v>-48.25</v>
      </c>
      <c r="M659" s="11">
        <v>-8.74</v>
      </c>
      <c r="N659" s="11">
        <v>-140.41999999999999</v>
      </c>
      <c r="O659" s="11">
        <v>233.05</v>
      </c>
      <c r="P659" s="11">
        <v>-43.12</v>
      </c>
      <c r="Q659" s="11">
        <v>-35.549999999999997</v>
      </c>
      <c r="R659" s="11">
        <v>-9.6199999999999992</v>
      </c>
      <c r="S659" s="11">
        <v>-6.47</v>
      </c>
      <c r="T659" s="11">
        <v>-131.63999999999999</v>
      </c>
      <c r="U659" s="11">
        <v>-7.29</v>
      </c>
    </row>
    <row r="660" spans="1:21" x14ac:dyDescent="0.2">
      <c r="A660" s="6" t="s">
        <v>35</v>
      </c>
      <c r="B660" s="16" t="s">
        <v>59</v>
      </c>
      <c r="C660" s="13">
        <v>-250.59</v>
      </c>
      <c r="D660" s="16" t="s">
        <v>59</v>
      </c>
      <c r="E660" s="13">
        <v>-20.260000000000002</v>
      </c>
      <c r="F660" s="13">
        <v>-33.049999999999997</v>
      </c>
      <c r="G660" s="13">
        <v>-6.51</v>
      </c>
      <c r="H660" s="6">
        <v>32.229999999999997</v>
      </c>
      <c r="I660" s="6">
        <v>25.13</v>
      </c>
      <c r="J660" s="13">
        <v>-166.11</v>
      </c>
      <c r="K660" s="13">
        <v>-36.31</v>
      </c>
      <c r="L660" s="13">
        <v>-11.88</v>
      </c>
      <c r="M660" s="6">
        <v>75.42</v>
      </c>
      <c r="N660" s="24">
        <v>-1360.37</v>
      </c>
      <c r="O660" s="16" t="s">
        <v>59</v>
      </c>
      <c r="P660" s="6">
        <v>67.239999999999995</v>
      </c>
      <c r="Q660" s="13">
        <v>-387.8</v>
      </c>
      <c r="R660" s="6">
        <v>4.68</v>
      </c>
      <c r="S660" s="13">
        <v>-4.7300000000000004</v>
      </c>
      <c r="T660" s="24">
        <v>-1813.14</v>
      </c>
      <c r="U660" s="6">
        <v>94.06</v>
      </c>
    </row>
    <row r="661" spans="1:21" x14ac:dyDescent="0.2">
      <c r="A661" s="11" t="s">
        <v>274</v>
      </c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</row>
    <row r="662" spans="1:21" x14ac:dyDescent="0.2">
      <c r="A662" s="6" t="s">
        <v>276</v>
      </c>
      <c r="B662" s="6">
        <v>239.9</v>
      </c>
      <c r="C662" s="13">
        <v>-86.04</v>
      </c>
      <c r="D662" s="6">
        <v>150.81</v>
      </c>
      <c r="E662" s="13">
        <v>-4.3600000000000003</v>
      </c>
      <c r="F662" s="6">
        <v>38.1</v>
      </c>
      <c r="G662" s="6">
        <v>0.24</v>
      </c>
      <c r="H662" s="6">
        <v>14.55</v>
      </c>
      <c r="I662" s="6">
        <v>0.7</v>
      </c>
      <c r="J662" s="13">
        <v>-6.94</v>
      </c>
      <c r="K662" s="6">
        <v>0.97</v>
      </c>
      <c r="L662" s="6">
        <v>13.41</v>
      </c>
      <c r="M662" s="13">
        <v>-25.74</v>
      </c>
      <c r="N662" s="13">
        <v>-74.63</v>
      </c>
      <c r="O662" s="6">
        <v>228.44</v>
      </c>
      <c r="P662" s="6">
        <v>1.04</v>
      </c>
      <c r="Q662" s="13">
        <v>-12.96</v>
      </c>
      <c r="R662" s="6">
        <v>23.39</v>
      </c>
      <c r="S662" s="6">
        <v>12.73</v>
      </c>
      <c r="T662" s="13">
        <v>-107.16</v>
      </c>
      <c r="U662" s="13">
        <v>-12.91</v>
      </c>
    </row>
    <row r="663" spans="1:21" x14ac:dyDescent="0.2">
      <c r="A663" s="11" t="s">
        <v>141</v>
      </c>
      <c r="B663" s="11">
        <v>105.68</v>
      </c>
      <c r="C663" s="11">
        <v>80.77</v>
      </c>
      <c r="D663" s="11">
        <v>52.3</v>
      </c>
      <c r="E663" s="11">
        <v>20.86</v>
      </c>
      <c r="F663" s="11">
        <v>59.48</v>
      </c>
      <c r="G663" s="11">
        <v>16.100000000000001</v>
      </c>
      <c r="H663" s="11">
        <v>34.79</v>
      </c>
      <c r="I663" s="11">
        <v>24.9</v>
      </c>
      <c r="J663" s="11">
        <v>20.11</v>
      </c>
      <c r="K663" s="11">
        <v>11.13</v>
      </c>
      <c r="L663" s="11">
        <v>61.65</v>
      </c>
      <c r="M663" s="11">
        <v>-7.78</v>
      </c>
      <c r="N663" s="11">
        <v>17.27</v>
      </c>
      <c r="O663" s="11">
        <v>-8.61</v>
      </c>
      <c r="P663" s="11">
        <v>54.92</v>
      </c>
      <c r="Q663" s="11">
        <v>25.88</v>
      </c>
      <c r="R663" s="11">
        <v>33.5</v>
      </c>
      <c r="S663" s="11">
        <v>25.32</v>
      </c>
      <c r="T663" s="11">
        <v>24.49</v>
      </c>
      <c r="U663" s="11">
        <v>-0.41</v>
      </c>
    </row>
    <row r="664" spans="1:21" x14ac:dyDescent="0.2">
      <c r="A664" s="6" t="s">
        <v>35</v>
      </c>
      <c r="B664" s="6">
        <v>30.85</v>
      </c>
      <c r="C664" s="6">
        <v>54.44</v>
      </c>
      <c r="D664" s="6">
        <v>150.75</v>
      </c>
      <c r="E664" s="13">
        <v>-64.930000000000007</v>
      </c>
      <c r="F664" s="6">
        <v>269.5</v>
      </c>
      <c r="G664" s="13">
        <v>-53.73</v>
      </c>
      <c r="H664" s="6">
        <v>39.71</v>
      </c>
      <c r="I664" s="6">
        <v>23.82</v>
      </c>
      <c r="J664" s="6">
        <v>80.650000000000006</v>
      </c>
      <c r="K664" s="13">
        <v>-13.44</v>
      </c>
      <c r="L664" s="6">
        <v>12.27</v>
      </c>
      <c r="M664" s="13">
        <v>-130.05000000000001</v>
      </c>
      <c r="N664" s="13">
        <v>-48.44</v>
      </c>
      <c r="O664" s="13">
        <v>-134.02000000000001</v>
      </c>
      <c r="P664" s="6">
        <v>124.26</v>
      </c>
      <c r="Q664" s="16" t="s">
        <v>59</v>
      </c>
      <c r="R664" s="6">
        <v>6.76</v>
      </c>
      <c r="S664" s="6">
        <v>39.86</v>
      </c>
      <c r="T664" s="6">
        <v>40.5</v>
      </c>
      <c r="U664" s="13">
        <v>-115.36</v>
      </c>
    </row>
    <row r="665" spans="1:21" x14ac:dyDescent="0.2">
      <c r="A665" s="2" t="s">
        <v>158</v>
      </c>
      <c r="B665" s="2">
        <v>3.6</v>
      </c>
      <c r="C665" s="2">
        <v>2.71</v>
      </c>
      <c r="D665" s="2">
        <v>1.75</v>
      </c>
      <c r="E665" s="2">
        <v>0.7</v>
      </c>
      <c r="F665" s="2">
        <v>2</v>
      </c>
      <c r="G665" s="2">
        <v>0.54</v>
      </c>
      <c r="H665" s="2">
        <v>1.18</v>
      </c>
      <c r="I665" s="2">
        <v>0.85</v>
      </c>
      <c r="J665" s="2">
        <v>0.69</v>
      </c>
      <c r="K665" s="2">
        <v>0.4</v>
      </c>
      <c r="L665" s="2">
        <v>2.2000000000000002</v>
      </c>
      <c r="M665" s="9">
        <v>-0.28000000000000003</v>
      </c>
      <c r="N665" s="2">
        <v>0.61</v>
      </c>
      <c r="O665" s="9">
        <v>-0.28999999999999998</v>
      </c>
      <c r="P665" s="2">
        <v>1.87</v>
      </c>
      <c r="Q665" s="2">
        <v>0.88</v>
      </c>
      <c r="R665" s="2">
        <v>1.1399999999999999</v>
      </c>
      <c r="S665" s="2">
        <v>0.86</v>
      </c>
      <c r="T665" s="2">
        <v>0.82</v>
      </c>
      <c r="U665" s="9">
        <v>-0.01</v>
      </c>
    </row>
    <row r="666" spans="1:21" x14ac:dyDescent="0.2">
      <c r="A666" s="6" t="s">
        <v>277</v>
      </c>
      <c r="B666" s="6">
        <v>1.26</v>
      </c>
      <c r="C666" s="6">
        <v>1.05</v>
      </c>
      <c r="D666" s="6">
        <v>1.27</v>
      </c>
      <c r="E666" s="6">
        <v>0.4</v>
      </c>
      <c r="F666" s="6">
        <v>1.42</v>
      </c>
      <c r="G666" s="6">
        <v>0.63</v>
      </c>
      <c r="H666" s="6">
        <v>1.82</v>
      </c>
      <c r="I666" s="6">
        <v>2.17</v>
      </c>
      <c r="J666" s="6">
        <v>2.34</v>
      </c>
      <c r="K666" s="6">
        <v>1.77</v>
      </c>
      <c r="L666" s="6">
        <v>0.9</v>
      </c>
      <c r="M666" s="6">
        <v>0.56999999999999995</v>
      </c>
      <c r="N666" s="6">
        <v>1.4</v>
      </c>
      <c r="O666" s="6">
        <v>1.27</v>
      </c>
      <c r="P666" s="6">
        <v>1.1499999999999999</v>
      </c>
      <c r="Q666" s="6">
        <v>0.88</v>
      </c>
      <c r="R666" s="6">
        <v>0.77</v>
      </c>
      <c r="S666" s="6">
        <v>1.07</v>
      </c>
      <c r="T666" s="6">
        <v>1.37</v>
      </c>
      <c r="U666" s="6">
        <v>1.1100000000000001</v>
      </c>
    </row>
    <row r="667" spans="1:21" x14ac:dyDescent="0.2">
      <c r="A667" s="2" t="s">
        <v>111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2">
      <c r="A668" s="6" t="s">
        <v>311</v>
      </c>
      <c r="B668" s="6">
        <v>22.7</v>
      </c>
      <c r="C668" s="6">
        <v>22.74</v>
      </c>
      <c r="D668" s="6">
        <v>20.48</v>
      </c>
      <c r="E668" s="6">
        <v>15.04</v>
      </c>
      <c r="F668" s="6">
        <v>14.55</v>
      </c>
      <c r="G668" s="6">
        <v>16.93</v>
      </c>
      <c r="H668" s="6">
        <v>7.6</v>
      </c>
      <c r="I668" s="6">
        <v>4.84</v>
      </c>
      <c r="J668" s="6">
        <v>4.78</v>
      </c>
      <c r="K668" s="6">
        <v>3.41</v>
      </c>
      <c r="L668" s="16" t="s">
        <v>59</v>
      </c>
      <c r="M668" s="16" t="s">
        <v>59</v>
      </c>
      <c r="N668" s="16" t="s">
        <v>59</v>
      </c>
      <c r="O668" s="16" t="s">
        <v>59</v>
      </c>
      <c r="P668" s="16" t="s">
        <v>59</v>
      </c>
      <c r="Q668" s="16" t="s">
        <v>59</v>
      </c>
      <c r="R668" s="16" t="s">
        <v>59</v>
      </c>
      <c r="S668" s="16" t="s">
        <v>59</v>
      </c>
      <c r="T668" s="16" t="s">
        <v>59</v>
      </c>
      <c r="U668" s="16" t="s">
        <v>59</v>
      </c>
    </row>
    <row r="669" spans="1:21" x14ac:dyDescent="0.2">
      <c r="A669" s="2" t="s">
        <v>278</v>
      </c>
      <c r="B669" s="2">
        <v>38.840000000000003</v>
      </c>
      <c r="C669" s="2">
        <v>27.92</v>
      </c>
      <c r="D669" s="2">
        <v>13.58</v>
      </c>
      <c r="E669" s="2">
        <v>10.42</v>
      </c>
      <c r="F669" s="2">
        <v>7.26</v>
      </c>
      <c r="G669" s="2">
        <v>5.41</v>
      </c>
      <c r="H669" s="2">
        <v>2.95</v>
      </c>
      <c r="I669" s="2">
        <v>10.1</v>
      </c>
      <c r="J669" s="2">
        <v>7.23</v>
      </c>
      <c r="K669" s="2">
        <v>5.36</v>
      </c>
      <c r="L669" s="15" t="s">
        <v>59</v>
      </c>
      <c r="M669" s="15" t="s">
        <v>59</v>
      </c>
      <c r="N669" s="15" t="s">
        <v>59</v>
      </c>
      <c r="O669" s="15" t="s">
        <v>59</v>
      </c>
      <c r="P669" s="15" t="s">
        <v>59</v>
      </c>
      <c r="Q669" s="15" t="s">
        <v>59</v>
      </c>
      <c r="R669" s="15" t="s">
        <v>59</v>
      </c>
      <c r="S669" s="15" t="s">
        <v>59</v>
      </c>
      <c r="T669" s="15" t="s">
        <v>59</v>
      </c>
      <c r="U669" s="15" t="s">
        <v>59</v>
      </c>
    </row>
    <row r="670" spans="1:21" x14ac:dyDescent="0.2">
      <c r="A670" s="25" t="s">
        <v>279</v>
      </c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</row>
    <row r="672" spans="1:21" x14ac:dyDescent="0.2">
      <c r="A672" s="1" t="s">
        <v>325</v>
      </c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</row>
    <row r="673" spans="1:36" x14ac:dyDescent="0.2">
      <c r="A673" s="3">
        <v>152.97999999999999</v>
      </c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</row>
    <row r="674" spans="1:36" x14ac:dyDescent="0.2">
      <c r="A674" s="2" t="s">
        <v>1</v>
      </c>
      <c r="B674" s="4" t="s">
        <v>1</v>
      </c>
      <c r="C674" s="4" t="s">
        <v>1</v>
      </c>
      <c r="D674" s="4" t="s">
        <v>1</v>
      </c>
      <c r="E674" s="4" t="s">
        <v>1</v>
      </c>
      <c r="F674" s="4" t="s">
        <v>1</v>
      </c>
      <c r="G674" s="4" t="s">
        <v>1</v>
      </c>
      <c r="H674" s="4" t="s">
        <v>1</v>
      </c>
      <c r="I674" s="4" t="s">
        <v>1</v>
      </c>
      <c r="J674" s="4" t="s">
        <v>1</v>
      </c>
      <c r="K674" s="4" t="s">
        <v>1</v>
      </c>
      <c r="L674" s="4" t="s">
        <v>1</v>
      </c>
      <c r="M674" s="4" t="s">
        <v>1</v>
      </c>
      <c r="N674" s="4" t="s">
        <v>1</v>
      </c>
      <c r="O674" s="4" t="s">
        <v>1</v>
      </c>
      <c r="P674" s="4" t="s">
        <v>1</v>
      </c>
      <c r="Q674" s="4" t="s">
        <v>1</v>
      </c>
      <c r="R674" s="4" t="s">
        <v>1</v>
      </c>
      <c r="S674" s="4" t="s">
        <v>1</v>
      </c>
      <c r="T674" s="4" t="s">
        <v>1</v>
      </c>
      <c r="U674" s="4" t="s">
        <v>1</v>
      </c>
    </row>
    <row r="675" spans="1:36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</row>
    <row r="676" spans="1:36" x14ac:dyDescent="0.2">
      <c r="A676" s="5" t="s">
        <v>326</v>
      </c>
      <c r="B676" s="5" t="s">
        <v>1</v>
      </c>
      <c r="C676" s="5" t="s">
        <v>1</v>
      </c>
      <c r="D676" s="5" t="s">
        <v>1</v>
      </c>
      <c r="E676" s="5" t="s">
        <v>1</v>
      </c>
      <c r="F676" s="5" t="s">
        <v>1</v>
      </c>
      <c r="G676" s="5" t="s">
        <v>1</v>
      </c>
      <c r="H676" s="5" t="s">
        <v>1</v>
      </c>
      <c r="I676" s="5" t="s">
        <v>1</v>
      </c>
      <c r="J676" s="5" t="s">
        <v>1</v>
      </c>
      <c r="K676" s="5" t="s">
        <v>1</v>
      </c>
      <c r="L676" s="5" t="s">
        <v>1</v>
      </c>
      <c r="M676" s="5" t="s">
        <v>1</v>
      </c>
      <c r="N676" s="5" t="s">
        <v>1</v>
      </c>
      <c r="O676" s="5" t="s">
        <v>1</v>
      </c>
      <c r="P676" s="5" t="s">
        <v>1</v>
      </c>
      <c r="Q676" s="5" t="s">
        <v>1</v>
      </c>
      <c r="R676" s="5" t="s">
        <v>1</v>
      </c>
      <c r="S676" s="5" t="s">
        <v>1</v>
      </c>
      <c r="T676" s="5" t="s">
        <v>1</v>
      </c>
      <c r="U676" s="5" t="s">
        <v>1</v>
      </c>
      <c r="W676" s="33" t="s">
        <v>327</v>
      </c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</row>
    <row r="677" spans="1:36" x14ac:dyDescent="0.2">
      <c r="A677" s="5" t="s">
        <v>328</v>
      </c>
      <c r="B677" s="5" t="s">
        <v>1</v>
      </c>
      <c r="C677" s="5" t="s">
        <v>1</v>
      </c>
      <c r="D677" s="5" t="s">
        <v>1</v>
      </c>
      <c r="E677" s="5" t="s">
        <v>1</v>
      </c>
      <c r="F677" s="5" t="s">
        <v>1</v>
      </c>
      <c r="G677" s="5" t="s">
        <v>1</v>
      </c>
      <c r="H677" s="5" t="s">
        <v>1</v>
      </c>
      <c r="I677" s="5" t="s">
        <v>1</v>
      </c>
      <c r="J677" s="5" t="s">
        <v>1</v>
      </c>
      <c r="K677" s="5" t="s">
        <v>1</v>
      </c>
      <c r="L677" s="5" t="s">
        <v>1</v>
      </c>
      <c r="M677" s="5" t="s">
        <v>1</v>
      </c>
      <c r="N677" s="5" t="s">
        <v>1</v>
      </c>
      <c r="O677" s="5" t="s">
        <v>1</v>
      </c>
      <c r="P677" s="5" t="s">
        <v>1</v>
      </c>
      <c r="Q677" s="5" t="s">
        <v>1</v>
      </c>
      <c r="R677" s="5" t="s">
        <v>1</v>
      </c>
      <c r="S677" s="5" t="s">
        <v>1</v>
      </c>
      <c r="T677" s="5" t="s">
        <v>1</v>
      </c>
      <c r="U677" s="5" t="s">
        <v>1</v>
      </c>
      <c r="W677" s="33" t="s">
        <v>5</v>
      </c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</row>
    <row r="678" spans="1:36" x14ac:dyDescent="0.2">
      <c r="A678" s="5" t="s">
        <v>6</v>
      </c>
      <c r="B678" s="5" t="s">
        <v>1</v>
      </c>
      <c r="C678" s="5" t="s">
        <v>1</v>
      </c>
      <c r="D678" s="5" t="s">
        <v>1</v>
      </c>
      <c r="E678" s="5" t="s">
        <v>1</v>
      </c>
      <c r="F678" s="5" t="s">
        <v>1</v>
      </c>
      <c r="G678" s="5" t="s">
        <v>1</v>
      </c>
      <c r="H678" s="5" t="s">
        <v>1</v>
      </c>
      <c r="I678" s="5" t="s">
        <v>1</v>
      </c>
      <c r="J678" s="5" t="s">
        <v>1</v>
      </c>
      <c r="K678" s="5" t="s">
        <v>1</v>
      </c>
      <c r="L678" s="5" t="s">
        <v>1</v>
      </c>
      <c r="M678" s="5" t="s">
        <v>1</v>
      </c>
      <c r="N678" s="5" t="s">
        <v>1</v>
      </c>
      <c r="O678" s="5" t="s">
        <v>1</v>
      </c>
      <c r="P678" s="5" t="s">
        <v>1</v>
      </c>
      <c r="Q678" s="5" t="s">
        <v>1</v>
      </c>
      <c r="R678" s="5" t="s">
        <v>1</v>
      </c>
      <c r="S678" s="5" t="s">
        <v>1</v>
      </c>
      <c r="T678" s="5" t="s">
        <v>1</v>
      </c>
      <c r="U678" s="5" t="s">
        <v>1</v>
      </c>
      <c r="W678" s="34" t="s">
        <v>1</v>
      </c>
      <c r="X678" s="34" t="s">
        <v>7</v>
      </c>
      <c r="Y678" s="33"/>
      <c r="Z678" s="33"/>
      <c r="AA678" s="33"/>
      <c r="AB678" s="33"/>
      <c r="AC678" s="33"/>
      <c r="AD678" s="33"/>
    </row>
    <row r="679" spans="1:36" x14ac:dyDescent="0.2">
      <c r="A679" s="5" t="s">
        <v>1</v>
      </c>
      <c r="B679" s="5" t="s">
        <v>8</v>
      </c>
      <c r="C679" s="5" t="s">
        <v>1</v>
      </c>
      <c r="D679" s="5" t="s">
        <v>1</v>
      </c>
      <c r="E679" s="5" t="s">
        <v>1</v>
      </c>
      <c r="F679" s="5" t="s">
        <v>1</v>
      </c>
      <c r="G679" s="5" t="s">
        <v>1</v>
      </c>
      <c r="H679" s="5" t="s">
        <v>1</v>
      </c>
      <c r="I679" s="5" t="s">
        <v>1</v>
      </c>
      <c r="J679" s="5" t="s">
        <v>1</v>
      </c>
      <c r="K679" s="5" t="s">
        <v>1</v>
      </c>
      <c r="L679" s="5" t="s">
        <v>9</v>
      </c>
      <c r="M679" s="5" t="s">
        <v>1</v>
      </c>
      <c r="N679" s="5" t="s">
        <v>1</v>
      </c>
      <c r="O679" s="5" t="s">
        <v>1</v>
      </c>
      <c r="P679" s="5" t="s">
        <v>1</v>
      </c>
      <c r="Q679" s="5" t="s">
        <v>1</v>
      </c>
      <c r="R679" s="5" t="s">
        <v>1</v>
      </c>
      <c r="S679" s="5" t="s">
        <v>1</v>
      </c>
      <c r="T679" s="5" t="s">
        <v>1</v>
      </c>
      <c r="U679" s="5" t="s">
        <v>1</v>
      </c>
      <c r="W679" s="35" t="s">
        <v>10</v>
      </c>
      <c r="X679" s="35">
        <v>6.08</v>
      </c>
      <c r="Y679" s="33"/>
      <c r="Z679" s="33"/>
      <c r="AA679" s="33"/>
      <c r="AB679" s="33"/>
      <c r="AC679" s="33"/>
      <c r="AD679" s="33"/>
    </row>
    <row r="680" spans="1:36" x14ac:dyDescent="0.2">
      <c r="A680" s="5" t="s">
        <v>1</v>
      </c>
      <c r="B680" s="5" t="s">
        <v>11</v>
      </c>
      <c r="C680" s="5" t="s">
        <v>12</v>
      </c>
      <c r="D680" s="5" t="s">
        <v>13</v>
      </c>
      <c r="E680" s="5" t="s">
        <v>14</v>
      </c>
      <c r="F680" s="5" t="s">
        <v>15</v>
      </c>
      <c r="G680" s="5" t="s">
        <v>16</v>
      </c>
      <c r="H680" s="5" t="s">
        <v>17</v>
      </c>
      <c r="I680" s="5" t="s">
        <v>18</v>
      </c>
      <c r="J680" s="5" t="s">
        <v>19</v>
      </c>
      <c r="K680" s="5" t="s">
        <v>20</v>
      </c>
      <c r="L680" s="5" t="s">
        <v>21</v>
      </c>
      <c r="M680" s="5" t="s">
        <v>22</v>
      </c>
      <c r="N680" s="5" t="s">
        <v>23</v>
      </c>
      <c r="O680" s="5" t="s">
        <v>11</v>
      </c>
      <c r="P680" s="5" t="s">
        <v>24</v>
      </c>
      <c r="Q680" s="5" t="s">
        <v>25</v>
      </c>
      <c r="R680" s="5" t="s">
        <v>26</v>
      </c>
      <c r="S680" s="5" t="s">
        <v>12</v>
      </c>
      <c r="T680" s="5" t="s">
        <v>27</v>
      </c>
      <c r="U680" s="5" t="s">
        <v>28</v>
      </c>
      <c r="W680" s="33" t="s">
        <v>29</v>
      </c>
      <c r="X680" s="33">
        <v>5.46</v>
      </c>
    </row>
    <row r="681" spans="1:36" x14ac:dyDescent="0.2">
      <c r="A681" s="5" t="s">
        <v>1</v>
      </c>
      <c r="B681" s="5" t="s">
        <v>1</v>
      </c>
      <c r="C681" s="5" t="s">
        <v>1</v>
      </c>
      <c r="D681" s="5" t="s">
        <v>1</v>
      </c>
      <c r="E681" s="5" t="s">
        <v>1</v>
      </c>
      <c r="F681" s="5" t="s">
        <v>1</v>
      </c>
      <c r="G681" s="5" t="s">
        <v>1</v>
      </c>
      <c r="H681" s="5" t="s">
        <v>1</v>
      </c>
      <c r="I681" s="5" t="s">
        <v>1</v>
      </c>
      <c r="J681" s="5" t="s">
        <v>30</v>
      </c>
      <c r="K681" s="5" t="s">
        <v>30</v>
      </c>
      <c r="L681" s="5" t="s">
        <v>1</v>
      </c>
      <c r="M681" s="5" t="s">
        <v>1</v>
      </c>
      <c r="N681" s="5" t="s">
        <v>1</v>
      </c>
      <c r="O681" s="5" t="s">
        <v>1</v>
      </c>
      <c r="P681" s="5" t="s">
        <v>1</v>
      </c>
      <c r="Q681" s="5" t="s">
        <v>1</v>
      </c>
      <c r="R681" s="5" t="s">
        <v>1</v>
      </c>
      <c r="S681" s="5" t="s">
        <v>1</v>
      </c>
      <c r="T681" s="5" t="s">
        <v>1</v>
      </c>
      <c r="U681" s="5" t="s">
        <v>1</v>
      </c>
      <c r="W681" s="35" t="s">
        <v>31</v>
      </c>
      <c r="X681" s="35">
        <v>6.08</v>
      </c>
    </row>
    <row r="682" spans="1:36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W682" s="33"/>
      <c r="X682" s="33"/>
    </row>
    <row r="683" spans="1:36" x14ac:dyDescent="0.2">
      <c r="A683" s="6" t="s">
        <v>32</v>
      </c>
      <c r="B683" s="6" t="s">
        <v>1</v>
      </c>
      <c r="C683" s="6" t="s">
        <v>1</v>
      </c>
      <c r="D683" s="6" t="s">
        <v>1</v>
      </c>
      <c r="E683" s="6" t="s">
        <v>1</v>
      </c>
      <c r="F683" s="6" t="s">
        <v>1</v>
      </c>
      <c r="G683" s="6" t="s">
        <v>1</v>
      </c>
      <c r="H683" s="6" t="s">
        <v>1</v>
      </c>
      <c r="I683" s="6" t="s">
        <v>1</v>
      </c>
      <c r="J683" s="6" t="s">
        <v>1</v>
      </c>
      <c r="K683" s="6" t="s">
        <v>1</v>
      </c>
      <c r="L683" s="6" t="s">
        <v>1</v>
      </c>
      <c r="M683" s="6" t="s">
        <v>1</v>
      </c>
      <c r="N683" s="6" t="s">
        <v>1</v>
      </c>
      <c r="O683" s="6" t="s">
        <v>1</v>
      </c>
      <c r="P683" s="6" t="s">
        <v>1</v>
      </c>
      <c r="Q683" s="6" t="s">
        <v>1</v>
      </c>
      <c r="R683" s="6" t="s">
        <v>1</v>
      </c>
      <c r="S683" s="6" t="s">
        <v>1</v>
      </c>
      <c r="T683" s="6" t="s">
        <v>1</v>
      </c>
      <c r="U683" s="6" t="s">
        <v>1</v>
      </c>
      <c r="W683" s="33" t="s">
        <v>33</v>
      </c>
      <c r="X683" s="33"/>
    </row>
    <row r="684" spans="1:36" x14ac:dyDescent="0.2">
      <c r="A684" s="2" t="s">
        <v>32</v>
      </c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W684" s="34" t="s">
        <v>1</v>
      </c>
      <c r="X684" s="34" t="s">
        <v>7</v>
      </c>
    </row>
    <row r="685" spans="1:36" x14ac:dyDescent="0.2">
      <c r="A685" s="7" t="s">
        <v>34</v>
      </c>
      <c r="B685" s="8">
        <v>7549</v>
      </c>
      <c r="C685" s="8">
        <v>7076</v>
      </c>
      <c r="D685" s="8">
        <v>6842</v>
      </c>
      <c r="E685" s="8">
        <v>6584</v>
      </c>
      <c r="F685" s="8">
        <v>5652</v>
      </c>
      <c r="G685" s="8">
        <v>5597</v>
      </c>
      <c r="H685" s="8">
        <v>5688</v>
      </c>
      <c r="I685" s="8">
        <v>5878</v>
      </c>
      <c r="J685" s="8">
        <v>6356</v>
      </c>
      <c r="K685" s="8">
        <v>6440</v>
      </c>
      <c r="L685" s="8">
        <v>1979</v>
      </c>
      <c r="M685" s="8">
        <v>1933</v>
      </c>
      <c r="N685" s="8">
        <v>1787</v>
      </c>
      <c r="O685" s="8">
        <v>2362</v>
      </c>
      <c r="P685" s="8">
        <v>1826</v>
      </c>
      <c r="Q685" s="8">
        <v>1763</v>
      </c>
      <c r="R685" s="8">
        <v>1598</v>
      </c>
      <c r="S685" s="8">
        <v>2036</v>
      </c>
      <c r="T685" s="8">
        <v>1708</v>
      </c>
      <c r="U685" s="8">
        <v>1687</v>
      </c>
      <c r="W685" s="42" t="s">
        <v>329</v>
      </c>
      <c r="X685" s="43">
        <v>8154</v>
      </c>
    </row>
    <row r="686" spans="1:36" x14ac:dyDescent="0.2">
      <c r="A686" s="2" t="s">
        <v>35</v>
      </c>
      <c r="B686" s="2">
        <v>6.68</v>
      </c>
      <c r="C686" s="2">
        <v>3.42</v>
      </c>
      <c r="D686" s="2">
        <v>3.92</v>
      </c>
      <c r="E686" s="2">
        <v>16.489999999999998</v>
      </c>
      <c r="F686" s="2">
        <v>0.98</v>
      </c>
      <c r="G686" s="9">
        <v>-1.6</v>
      </c>
      <c r="H686" s="9">
        <v>-3.23</v>
      </c>
      <c r="I686" s="9">
        <v>-7.52</v>
      </c>
      <c r="J686" s="9">
        <v>-1.3</v>
      </c>
      <c r="K686" s="9">
        <v>-51.5</v>
      </c>
      <c r="L686" s="2">
        <v>8.3800000000000008</v>
      </c>
      <c r="M686" s="2">
        <v>9.64</v>
      </c>
      <c r="N686" s="2">
        <v>11.83</v>
      </c>
      <c r="O686" s="2">
        <v>16.010000000000002</v>
      </c>
      <c r="P686" s="2">
        <v>6.91</v>
      </c>
      <c r="Q686" s="2">
        <v>4.51</v>
      </c>
      <c r="R686" s="9">
        <v>-2.86</v>
      </c>
      <c r="S686" s="2">
        <v>0.84</v>
      </c>
      <c r="T686" s="2">
        <v>4.1500000000000004</v>
      </c>
      <c r="U686" s="2">
        <v>3.12</v>
      </c>
      <c r="W686" s="46" t="s">
        <v>330</v>
      </c>
      <c r="X686" s="47">
        <v>2924</v>
      </c>
    </row>
    <row r="687" spans="1:36" x14ac:dyDescent="0.2">
      <c r="A687" s="7" t="s">
        <v>37</v>
      </c>
      <c r="B687" s="8">
        <v>3965</v>
      </c>
      <c r="C687" s="8">
        <v>3580</v>
      </c>
      <c r="D687" s="8">
        <v>3535</v>
      </c>
      <c r="E687" s="8">
        <v>3418</v>
      </c>
      <c r="F687" s="8">
        <v>2965</v>
      </c>
      <c r="G687" s="8">
        <v>2783</v>
      </c>
      <c r="H687" s="8">
        <v>3030</v>
      </c>
      <c r="I687" s="8">
        <v>3191</v>
      </c>
      <c r="J687" s="8">
        <v>3690</v>
      </c>
      <c r="K687" s="8">
        <v>3884</v>
      </c>
      <c r="L687" s="8">
        <v>1049</v>
      </c>
      <c r="M687" s="8">
        <v>1027</v>
      </c>
      <c r="N687" s="7">
        <v>950</v>
      </c>
      <c r="O687" s="8">
        <v>1313</v>
      </c>
      <c r="P687" s="7">
        <v>960</v>
      </c>
      <c r="Q687" s="7">
        <v>894</v>
      </c>
      <c r="R687" s="7">
        <v>798</v>
      </c>
      <c r="S687" s="8">
        <v>1063</v>
      </c>
      <c r="T687" s="7">
        <v>848</v>
      </c>
      <c r="U687" s="7">
        <v>835</v>
      </c>
      <c r="W687" s="39" t="s">
        <v>331</v>
      </c>
      <c r="X687" s="45">
        <v>1031</v>
      </c>
    </row>
    <row r="688" spans="1:36" x14ac:dyDescent="0.2">
      <c r="A688" s="2" t="s">
        <v>39</v>
      </c>
      <c r="B688" s="10">
        <v>3740</v>
      </c>
      <c r="C688" s="10">
        <v>3380</v>
      </c>
      <c r="D688" s="10">
        <v>3339</v>
      </c>
      <c r="E688" s="10">
        <v>3208</v>
      </c>
      <c r="F688" s="10">
        <v>2770</v>
      </c>
      <c r="G688" s="10">
        <v>2617</v>
      </c>
      <c r="H688" s="10">
        <v>2847</v>
      </c>
      <c r="I688" s="10">
        <v>2938</v>
      </c>
      <c r="J688" s="10">
        <v>3380</v>
      </c>
      <c r="K688" s="10">
        <v>3567</v>
      </c>
      <c r="L688" s="2">
        <v>999</v>
      </c>
      <c r="M688" s="2">
        <v>983</v>
      </c>
      <c r="N688" s="2">
        <v>905</v>
      </c>
      <c r="O688" s="10">
        <v>1258</v>
      </c>
      <c r="P688" s="2">
        <v>916</v>
      </c>
      <c r="Q688" s="2">
        <v>853</v>
      </c>
      <c r="R688" s="2">
        <v>763</v>
      </c>
      <c r="S688" s="2">
        <v>967</v>
      </c>
      <c r="T688" s="2">
        <v>811</v>
      </c>
      <c r="U688" s="2">
        <v>797</v>
      </c>
      <c r="W688" s="38" t="s">
        <v>332</v>
      </c>
      <c r="X688" s="33">
        <v>29</v>
      </c>
    </row>
    <row r="689" spans="1:36" x14ac:dyDescent="0.2">
      <c r="A689" s="7" t="s">
        <v>40</v>
      </c>
      <c r="B689" s="7">
        <v>225</v>
      </c>
      <c r="C689" s="7">
        <v>200</v>
      </c>
      <c r="D689" s="7">
        <v>196</v>
      </c>
      <c r="E689" s="7">
        <v>210</v>
      </c>
      <c r="F689" s="7">
        <v>195</v>
      </c>
      <c r="G689" s="7">
        <v>166</v>
      </c>
      <c r="H689" s="7">
        <v>183</v>
      </c>
      <c r="I689" s="7">
        <v>253</v>
      </c>
      <c r="J689" s="7">
        <v>310</v>
      </c>
      <c r="K689" s="7">
        <v>317</v>
      </c>
      <c r="L689" s="7">
        <v>50</v>
      </c>
      <c r="M689" s="7">
        <v>44</v>
      </c>
      <c r="N689" s="7">
        <v>45</v>
      </c>
      <c r="O689" s="7">
        <v>55</v>
      </c>
      <c r="P689" s="7">
        <v>44</v>
      </c>
      <c r="Q689" s="7">
        <v>41</v>
      </c>
      <c r="R689" s="7">
        <v>35</v>
      </c>
      <c r="S689" s="7">
        <v>96</v>
      </c>
      <c r="T689" s="7">
        <v>37</v>
      </c>
      <c r="U689" s="7">
        <v>38</v>
      </c>
      <c r="W689" s="39" t="s">
        <v>333</v>
      </c>
      <c r="X689" s="45">
        <v>1309</v>
      </c>
    </row>
    <row r="690" spans="1:36" x14ac:dyDescent="0.2">
      <c r="A690" s="2" t="s">
        <v>42</v>
      </c>
      <c r="B690" s="2">
        <v>143</v>
      </c>
      <c r="C690" s="2">
        <v>126</v>
      </c>
      <c r="D690" s="2">
        <v>128</v>
      </c>
      <c r="E690" s="2">
        <v>134</v>
      </c>
      <c r="F690" s="2">
        <v>132</v>
      </c>
      <c r="G690" s="2">
        <v>114</v>
      </c>
      <c r="H690" s="2">
        <v>146</v>
      </c>
      <c r="I690" s="2">
        <v>243</v>
      </c>
      <c r="J690" s="2">
        <v>298</v>
      </c>
      <c r="K690" s="2">
        <v>304</v>
      </c>
      <c r="L690" s="15" t="s">
        <v>59</v>
      </c>
      <c r="M690" s="15" t="s">
        <v>59</v>
      </c>
      <c r="N690" s="15" t="s">
        <v>59</v>
      </c>
      <c r="O690" s="15" t="s">
        <v>59</v>
      </c>
      <c r="P690" s="15" t="s">
        <v>59</v>
      </c>
      <c r="Q690" s="15" t="s">
        <v>59</v>
      </c>
      <c r="R690" s="15" t="s">
        <v>59</v>
      </c>
      <c r="S690" s="15" t="s">
        <v>59</v>
      </c>
      <c r="T690" s="15" t="s">
        <v>59</v>
      </c>
      <c r="U690" s="15" t="s">
        <v>59</v>
      </c>
      <c r="W690" s="38" t="s">
        <v>334</v>
      </c>
      <c r="X690" s="33">
        <v>560</v>
      </c>
    </row>
    <row r="691" spans="1:36" x14ac:dyDescent="0.2">
      <c r="A691" s="6" t="s">
        <v>286</v>
      </c>
      <c r="B691" s="6">
        <v>82</v>
      </c>
      <c r="C691" s="6">
        <v>74</v>
      </c>
      <c r="D691" s="6">
        <v>68</v>
      </c>
      <c r="E691" s="6">
        <v>76</v>
      </c>
      <c r="F691" s="6">
        <v>63</v>
      </c>
      <c r="G691" s="6">
        <v>52</v>
      </c>
      <c r="H691" s="6">
        <v>37</v>
      </c>
      <c r="I691" s="6">
        <v>10</v>
      </c>
      <c r="J691" s="6">
        <v>12</v>
      </c>
      <c r="K691" s="6">
        <v>13</v>
      </c>
      <c r="L691" s="16" t="s">
        <v>59</v>
      </c>
      <c r="M691" s="16" t="s">
        <v>59</v>
      </c>
      <c r="N691" s="16" t="s">
        <v>59</v>
      </c>
      <c r="O691" s="16" t="s">
        <v>59</v>
      </c>
      <c r="P691" s="16" t="s">
        <v>59</v>
      </c>
      <c r="Q691" s="16" t="s">
        <v>59</v>
      </c>
      <c r="R691" s="16" t="s">
        <v>59</v>
      </c>
      <c r="S691" s="16" t="s">
        <v>59</v>
      </c>
      <c r="T691" s="16" t="s">
        <v>59</v>
      </c>
      <c r="U691" s="16" t="s">
        <v>59</v>
      </c>
      <c r="W691" s="35" t="s">
        <v>335</v>
      </c>
      <c r="X691" s="45">
        <v>3451</v>
      </c>
    </row>
    <row r="692" spans="1:36" x14ac:dyDescent="0.2">
      <c r="A692" s="11" t="s">
        <v>43</v>
      </c>
      <c r="B692" s="12">
        <v>3584</v>
      </c>
      <c r="C692" s="12">
        <v>3496</v>
      </c>
      <c r="D692" s="12">
        <v>3307</v>
      </c>
      <c r="E692" s="12">
        <v>3166</v>
      </c>
      <c r="F692" s="12">
        <v>2687</v>
      </c>
      <c r="G692" s="12">
        <v>2814</v>
      </c>
      <c r="H692" s="12">
        <v>2658</v>
      </c>
      <c r="I692" s="12">
        <v>2687</v>
      </c>
      <c r="J692" s="12">
        <v>2666</v>
      </c>
      <c r="K692" s="12">
        <v>2556</v>
      </c>
      <c r="L692" s="11">
        <v>930</v>
      </c>
      <c r="M692" s="11">
        <v>906</v>
      </c>
      <c r="N692" s="11">
        <v>837</v>
      </c>
      <c r="O692" s="12">
        <v>1049</v>
      </c>
      <c r="P692" s="11">
        <v>866</v>
      </c>
      <c r="Q692" s="11">
        <v>869</v>
      </c>
      <c r="R692" s="11">
        <v>800</v>
      </c>
      <c r="S692" s="11">
        <v>973</v>
      </c>
      <c r="T692" s="11">
        <v>860</v>
      </c>
      <c r="U692" s="11">
        <v>852</v>
      </c>
      <c r="W692" s="33" t="s">
        <v>336</v>
      </c>
      <c r="X692" s="44">
        <v>1777</v>
      </c>
    </row>
    <row r="693" spans="1:36" x14ac:dyDescent="0.2">
      <c r="A693" s="6" t="s">
        <v>35</v>
      </c>
      <c r="B693" s="6">
        <v>2.52</v>
      </c>
      <c r="C693" s="6">
        <v>5.72</v>
      </c>
      <c r="D693" s="6">
        <v>4.45</v>
      </c>
      <c r="E693" s="6">
        <v>17.829999999999998</v>
      </c>
      <c r="F693" s="13">
        <v>-4.51</v>
      </c>
      <c r="G693" s="6">
        <v>5.87</v>
      </c>
      <c r="H693" s="13">
        <v>-1.08</v>
      </c>
      <c r="I693" s="6">
        <v>0.79</v>
      </c>
      <c r="J693" s="6">
        <v>4.3</v>
      </c>
      <c r="K693" s="13">
        <v>-25.63</v>
      </c>
      <c r="L693" s="6">
        <v>7.39</v>
      </c>
      <c r="M693" s="6">
        <v>4.26</v>
      </c>
      <c r="N693" s="6">
        <v>4.63</v>
      </c>
      <c r="O693" s="6">
        <v>7.81</v>
      </c>
      <c r="P693" s="6">
        <v>0.7</v>
      </c>
      <c r="Q693" s="6">
        <v>2</v>
      </c>
      <c r="R693" s="13">
        <v>-1.36</v>
      </c>
      <c r="S693" s="6">
        <v>2.96</v>
      </c>
      <c r="T693" s="6">
        <v>5.65</v>
      </c>
      <c r="U693" s="6">
        <v>7.04</v>
      </c>
      <c r="W693" s="42" t="s">
        <v>337</v>
      </c>
      <c r="X693" s="43">
        <v>8154</v>
      </c>
    </row>
    <row r="694" spans="1:36" x14ac:dyDescent="0.2">
      <c r="A694" s="2" t="s">
        <v>48</v>
      </c>
      <c r="B694" s="2">
        <v>47.48</v>
      </c>
      <c r="C694" s="2">
        <v>49.41</v>
      </c>
      <c r="D694" s="2">
        <v>48.33</v>
      </c>
      <c r="E694" s="2">
        <v>48.09</v>
      </c>
      <c r="F694" s="2">
        <v>47.54</v>
      </c>
      <c r="G694" s="2">
        <v>50.28</v>
      </c>
      <c r="H694" s="2">
        <v>46.73</v>
      </c>
      <c r="I694" s="2">
        <v>45.71</v>
      </c>
      <c r="J694" s="2">
        <v>41.94</v>
      </c>
      <c r="K694" s="2">
        <v>39.69</v>
      </c>
      <c r="L694" s="2">
        <v>46.99</v>
      </c>
      <c r="M694" s="2">
        <v>46.87</v>
      </c>
      <c r="N694" s="2">
        <v>46.84</v>
      </c>
      <c r="O694" s="2">
        <v>44.41</v>
      </c>
      <c r="P694" s="2">
        <v>47.43</v>
      </c>
      <c r="Q694" s="2">
        <v>49.29</v>
      </c>
      <c r="R694" s="2">
        <v>50.06</v>
      </c>
      <c r="S694" s="2">
        <v>47.79</v>
      </c>
      <c r="T694" s="2">
        <v>50.35</v>
      </c>
      <c r="U694" s="2">
        <v>50.5</v>
      </c>
      <c r="W694" s="33" t="s">
        <v>338</v>
      </c>
      <c r="X694" s="44">
        <v>3472</v>
      </c>
    </row>
    <row r="695" spans="1:36" x14ac:dyDescent="0.2">
      <c r="A695" s="7" t="s">
        <v>74</v>
      </c>
      <c r="B695" s="8">
        <v>1181</v>
      </c>
      <c r="C695" s="8">
        <v>1193</v>
      </c>
      <c r="D695" s="8">
        <v>1140</v>
      </c>
      <c r="E695" s="8">
        <v>1060</v>
      </c>
      <c r="F695" s="8">
        <v>1003</v>
      </c>
      <c r="G695" s="7">
        <v>917</v>
      </c>
      <c r="H695" s="7">
        <v>887</v>
      </c>
      <c r="I695" s="7">
        <v>976</v>
      </c>
      <c r="J695" s="8">
        <v>1129</v>
      </c>
      <c r="K695" s="8">
        <v>1099</v>
      </c>
      <c r="L695" s="7">
        <v>282</v>
      </c>
      <c r="M695" s="7">
        <v>302</v>
      </c>
      <c r="N695" s="7">
        <v>302</v>
      </c>
      <c r="O695" s="7">
        <v>351</v>
      </c>
      <c r="P695" s="7">
        <v>263</v>
      </c>
      <c r="Q695" s="7">
        <v>281</v>
      </c>
      <c r="R695" s="7">
        <v>286</v>
      </c>
      <c r="S695" s="7">
        <v>353</v>
      </c>
      <c r="T695" s="7">
        <v>267</v>
      </c>
      <c r="U695" s="7">
        <v>291</v>
      </c>
      <c r="W695" s="35" t="s">
        <v>339</v>
      </c>
      <c r="X695" s="35">
        <v>980</v>
      </c>
    </row>
    <row r="696" spans="1:36" x14ac:dyDescent="0.2">
      <c r="A696" s="2" t="s">
        <v>340</v>
      </c>
      <c r="B696" s="15" t="s">
        <v>59</v>
      </c>
      <c r="C696" s="15" t="s">
        <v>59</v>
      </c>
      <c r="D696" s="15" t="s">
        <v>59</v>
      </c>
      <c r="E696" s="15" t="s">
        <v>59</v>
      </c>
      <c r="F696" s="15" t="s">
        <v>59</v>
      </c>
      <c r="G696" s="15" t="s">
        <v>59</v>
      </c>
      <c r="H696" s="15" t="s">
        <v>59</v>
      </c>
      <c r="I696" s="2">
        <v>22</v>
      </c>
      <c r="J696" s="2">
        <v>24</v>
      </c>
      <c r="K696" s="2">
        <v>24</v>
      </c>
      <c r="L696" s="15" t="s">
        <v>59</v>
      </c>
      <c r="M696" s="15" t="s">
        <v>59</v>
      </c>
      <c r="N696" s="15" t="s">
        <v>59</v>
      </c>
      <c r="O696" s="15" t="s">
        <v>59</v>
      </c>
      <c r="P696" s="15" t="s">
        <v>59</v>
      </c>
      <c r="Q696" s="15" t="s">
        <v>59</v>
      </c>
      <c r="R696" s="15" t="s">
        <v>59</v>
      </c>
      <c r="S696" s="15" t="s">
        <v>59</v>
      </c>
      <c r="T696" s="15" t="s">
        <v>59</v>
      </c>
      <c r="U696" s="15" t="s">
        <v>59</v>
      </c>
      <c r="W696" s="33" t="s">
        <v>341</v>
      </c>
      <c r="X696" s="44">
        <v>3112</v>
      </c>
    </row>
    <row r="697" spans="1:36" x14ac:dyDescent="0.2">
      <c r="A697" s="6" t="s">
        <v>289</v>
      </c>
      <c r="B697" s="18">
        <v>1181</v>
      </c>
      <c r="C697" s="18">
        <v>1193</v>
      </c>
      <c r="D697" s="18">
        <v>1140</v>
      </c>
      <c r="E697" s="18">
        <v>1060</v>
      </c>
      <c r="F697" s="18">
        <v>1003</v>
      </c>
      <c r="G697" s="6">
        <v>917</v>
      </c>
      <c r="H697" s="6">
        <v>887</v>
      </c>
      <c r="I697" s="6">
        <v>954</v>
      </c>
      <c r="J697" s="18">
        <v>1105</v>
      </c>
      <c r="K697" s="18">
        <v>1075</v>
      </c>
      <c r="L697" s="6">
        <v>282</v>
      </c>
      <c r="M697" s="6">
        <v>302</v>
      </c>
      <c r="N697" s="6">
        <v>302</v>
      </c>
      <c r="O697" s="6">
        <v>351</v>
      </c>
      <c r="P697" s="6">
        <v>263</v>
      </c>
      <c r="Q697" s="6">
        <v>281</v>
      </c>
      <c r="R697" s="6">
        <v>286</v>
      </c>
      <c r="S697" s="6">
        <v>353</v>
      </c>
      <c r="T697" s="6">
        <v>267</v>
      </c>
      <c r="U697" s="6">
        <v>291</v>
      </c>
      <c r="W697" s="35" t="s">
        <v>342</v>
      </c>
      <c r="X697" s="35">
        <v>567</v>
      </c>
    </row>
    <row r="698" spans="1:36" x14ac:dyDescent="0.2">
      <c r="A698" s="2" t="s">
        <v>343</v>
      </c>
      <c r="B698" s="2">
        <v>15</v>
      </c>
      <c r="C698" s="9">
        <v>-3</v>
      </c>
      <c r="D698" s="2">
        <v>8</v>
      </c>
      <c r="E698" s="2">
        <v>0</v>
      </c>
      <c r="F698" s="2">
        <v>0</v>
      </c>
      <c r="G698" s="2">
        <v>4</v>
      </c>
      <c r="H698" s="2">
        <v>0</v>
      </c>
      <c r="I698" s="2">
        <v>5</v>
      </c>
      <c r="J698" s="2">
        <v>0</v>
      </c>
      <c r="K698" s="2">
        <v>0</v>
      </c>
      <c r="L698" s="9">
        <v>-3</v>
      </c>
      <c r="M698" s="9">
        <v>-4</v>
      </c>
      <c r="N698" s="9">
        <v>-5</v>
      </c>
      <c r="O698" s="2">
        <v>29</v>
      </c>
      <c r="P698" s="9">
        <v>-3</v>
      </c>
      <c r="Q698" s="9">
        <v>-5</v>
      </c>
      <c r="R698" s="9">
        <v>-6</v>
      </c>
      <c r="S698" s="9">
        <v>-7</v>
      </c>
      <c r="T698" s="9">
        <v>-6</v>
      </c>
      <c r="U698" s="2">
        <v>4</v>
      </c>
      <c r="W698" s="33"/>
      <c r="X698" s="33"/>
    </row>
    <row r="699" spans="1:36" x14ac:dyDescent="0.2">
      <c r="A699" s="7" t="s">
        <v>45</v>
      </c>
      <c r="B699" s="8">
        <v>2388</v>
      </c>
      <c r="C699" s="8">
        <v>2306</v>
      </c>
      <c r="D699" s="8">
        <v>2159</v>
      </c>
      <c r="E699" s="8">
        <v>2106</v>
      </c>
      <c r="F699" s="8">
        <v>1684</v>
      </c>
      <c r="G699" s="8">
        <v>1893</v>
      </c>
      <c r="H699" s="8">
        <v>1771</v>
      </c>
      <c r="I699" s="8">
        <v>1706</v>
      </c>
      <c r="J699" s="8">
        <v>1537</v>
      </c>
      <c r="K699" s="8">
        <v>1457</v>
      </c>
      <c r="L699" s="7">
        <v>651</v>
      </c>
      <c r="M699" s="7">
        <v>608</v>
      </c>
      <c r="N699" s="7">
        <v>540</v>
      </c>
      <c r="O699" s="7">
        <v>669</v>
      </c>
      <c r="P699" s="7">
        <v>606</v>
      </c>
      <c r="Q699" s="7">
        <v>593</v>
      </c>
      <c r="R699" s="7">
        <v>520</v>
      </c>
      <c r="S699" s="7">
        <v>627</v>
      </c>
      <c r="T699" s="7">
        <v>599</v>
      </c>
      <c r="U699" s="7">
        <v>557</v>
      </c>
      <c r="W699" s="33" t="s">
        <v>41</v>
      </c>
      <c r="X699" s="33"/>
      <c r="AH699" s="33"/>
      <c r="AI699" s="33"/>
      <c r="AJ699" s="33"/>
    </row>
    <row r="700" spans="1:36" x14ac:dyDescent="0.2">
      <c r="A700" s="2" t="s">
        <v>35</v>
      </c>
      <c r="B700" s="2">
        <v>3.56</v>
      </c>
      <c r="C700" s="2">
        <v>6.81</v>
      </c>
      <c r="D700" s="2">
        <v>2.52</v>
      </c>
      <c r="E700" s="2">
        <v>25.06</v>
      </c>
      <c r="F700" s="9">
        <v>-11.04</v>
      </c>
      <c r="G700" s="2">
        <v>6.89</v>
      </c>
      <c r="H700" s="2">
        <v>3.81</v>
      </c>
      <c r="I700" s="2">
        <v>11</v>
      </c>
      <c r="J700" s="2">
        <v>5.49</v>
      </c>
      <c r="K700" s="9">
        <v>-27.8</v>
      </c>
      <c r="L700" s="2">
        <v>7.43</v>
      </c>
      <c r="M700" s="2">
        <v>2.5299999999999998</v>
      </c>
      <c r="N700" s="2">
        <v>3.85</v>
      </c>
      <c r="O700" s="2">
        <v>6.7</v>
      </c>
      <c r="P700" s="2">
        <v>1.17</v>
      </c>
      <c r="Q700" s="2">
        <v>6.46</v>
      </c>
      <c r="R700" s="9">
        <v>-0.56999999999999995</v>
      </c>
      <c r="S700" s="2">
        <v>9.42</v>
      </c>
      <c r="T700" s="2">
        <v>9.31</v>
      </c>
      <c r="U700" s="2">
        <v>3.72</v>
      </c>
      <c r="W700" s="34" t="s">
        <v>1</v>
      </c>
      <c r="X700" s="34" t="s">
        <v>7</v>
      </c>
      <c r="AH700" s="33"/>
      <c r="AI700" s="33"/>
      <c r="AJ700" s="33"/>
    </row>
    <row r="701" spans="1:36" x14ac:dyDescent="0.2">
      <c r="A701" s="6" t="s">
        <v>48</v>
      </c>
      <c r="B701" s="6">
        <v>31.63</v>
      </c>
      <c r="C701" s="6">
        <v>32.590000000000003</v>
      </c>
      <c r="D701" s="6">
        <v>31.56</v>
      </c>
      <c r="E701" s="6">
        <v>31.99</v>
      </c>
      <c r="F701" s="6">
        <v>29.79</v>
      </c>
      <c r="G701" s="6">
        <v>33.82</v>
      </c>
      <c r="H701" s="6">
        <v>31.14</v>
      </c>
      <c r="I701" s="6">
        <v>29.02</v>
      </c>
      <c r="J701" s="6">
        <v>24.18</v>
      </c>
      <c r="K701" s="6">
        <v>22.62</v>
      </c>
      <c r="L701" s="6">
        <v>32.9</v>
      </c>
      <c r="M701" s="6">
        <v>31.45</v>
      </c>
      <c r="N701" s="6">
        <v>30.22</v>
      </c>
      <c r="O701" s="6">
        <v>28.32</v>
      </c>
      <c r="P701" s="6">
        <v>33.19</v>
      </c>
      <c r="Q701" s="6">
        <v>33.64</v>
      </c>
      <c r="R701" s="6">
        <v>32.54</v>
      </c>
      <c r="S701" s="6">
        <v>30.8</v>
      </c>
      <c r="T701" s="6">
        <v>35.07</v>
      </c>
      <c r="U701" s="6">
        <v>33.020000000000003</v>
      </c>
      <c r="W701" s="42" t="s">
        <v>44</v>
      </c>
      <c r="X701" s="42">
        <v>2.4</v>
      </c>
      <c r="Y701" s="33"/>
      <c r="Z701" s="33"/>
      <c r="AA701" s="33"/>
      <c r="AB701" s="33"/>
      <c r="AC701" s="33"/>
      <c r="AD701" s="33"/>
    </row>
    <row r="702" spans="1:36" x14ac:dyDescent="0.2">
      <c r="A702" s="11" t="s">
        <v>50</v>
      </c>
      <c r="B702" s="11">
        <v>46</v>
      </c>
      <c r="C702" s="11">
        <v>156</v>
      </c>
      <c r="D702" s="11">
        <v>48</v>
      </c>
      <c r="E702" s="11">
        <v>106</v>
      </c>
      <c r="F702" s="11">
        <v>117</v>
      </c>
      <c r="G702" s="11">
        <v>68</v>
      </c>
      <c r="H702" s="11">
        <v>564</v>
      </c>
      <c r="I702" s="12">
        <v>1067</v>
      </c>
      <c r="J702" s="11">
        <v>154</v>
      </c>
      <c r="K702" s="11">
        <v>-28</v>
      </c>
      <c r="L702" s="11">
        <v>18</v>
      </c>
      <c r="M702" s="11">
        <v>19</v>
      </c>
      <c r="N702" s="11">
        <v>15</v>
      </c>
      <c r="O702" s="11">
        <v>7</v>
      </c>
      <c r="P702" s="11">
        <v>27</v>
      </c>
      <c r="Q702" s="11">
        <v>23</v>
      </c>
      <c r="R702" s="11">
        <v>-11</v>
      </c>
      <c r="S702" s="11">
        <v>-11</v>
      </c>
      <c r="T702" s="11">
        <v>41</v>
      </c>
      <c r="U702" s="11">
        <v>53</v>
      </c>
      <c r="W702" s="33" t="s">
        <v>338</v>
      </c>
      <c r="X702" s="33">
        <v>2.2000000000000002</v>
      </c>
      <c r="Y702" s="33"/>
      <c r="Z702" s="33"/>
      <c r="AA702" s="33"/>
      <c r="AB702" s="33"/>
      <c r="AC702" s="33"/>
      <c r="AD702" s="33"/>
    </row>
    <row r="703" spans="1:36" x14ac:dyDescent="0.2">
      <c r="A703" s="6" t="s">
        <v>52</v>
      </c>
      <c r="B703" s="6">
        <v>0</v>
      </c>
      <c r="C703" s="6">
        <v>89</v>
      </c>
      <c r="D703" s="6">
        <v>31</v>
      </c>
      <c r="E703" s="6">
        <v>7</v>
      </c>
      <c r="F703" s="6">
        <v>15</v>
      </c>
      <c r="G703" s="6">
        <v>10</v>
      </c>
      <c r="H703" s="6">
        <v>30</v>
      </c>
      <c r="I703" s="6">
        <v>33</v>
      </c>
      <c r="J703" s="6">
        <v>26</v>
      </c>
      <c r="K703" s="6">
        <v>12</v>
      </c>
      <c r="L703" s="6">
        <v>0</v>
      </c>
      <c r="M703" s="6">
        <v>0</v>
      </c>
      <c r="N703" s="6">
        <v>0</v>
      </c>
      <c r="O703" s="6">
        <v>0</v>
      </c>
      <c r="P703" s="6">
        <v>0</v>
      </c>
      <c r="Q703" s="6">
        <v>0</v>
      </c>
      <c r="R703" s="6">
        <v>0</v>
      </c>
      <c r="S703" s="6">
        <v>0</v>
      </c>
      <c r="T703" s="6">
        <v>0</v>
      </c>
      <c r="U703" s="6">
        <v>0</v>
      </c>
      <c r="W703" s="35" t="s">
        <v>339</v>
      </c>
      <c r="X703" s="36">
        <v>-1.3</v>
      </c>
    </row>
    <row r="704" spans="1:36" x14ac:dyDescent="0.2">
      <c r="A704" s="2" t="s">
        <v>54</v>
      </c>
      <c r="B704" s="2">
        <v>46</v>
      </c>
      <c r="C704" s="2">
        <v>67</v>
      </c>
      <c r="D704" s="2">
        <v>17</v>
      </c>
      <c r="E704" s="2">
        <v>99</v>
      </c>
      <c r="F704" s="2">
        <v>102</v>
      </c>
      <c r="G704" s="2">
        <v>58</v>
      </c>
      <c r="H704" s="2">
        <v>534</v>
      </c>
      <c r="I704" s="10">
        <v>1034</v>
      </c>
      <c r="J704" s="2">
        <v>128</v>
      </c>
      <c r="K704" s="9">
        <v>-40</v>
      </c>
      <c r="L704" s="2">
        <v>18</v>
      </c>
      <c r="M704" s="2">
        <v>19</v>
      </c>
      <c r="N704" s="2">
        <v>15</v>
      </c>
      <c r="O704" s="2">
        <v>7</v>
      </c>
      <c r="P704" s="2">
        <v>27</v>
      </c>
      <c r="Q704" s="2">
        <v>23</v>
      </c>
      <c r="R704" s="9">
        <v>-11</v>
      </c>
      <c r="S704" s="9">
        <v>-11</v>
      </c>
      <c r="T704" s="2">
        <v>41</v>
      </c>
      <c r="U704" s="2">
        <v>53</v>
      </c>
      <c r="W704" s="33" t="s">
        <v>341</v>
      </c>
      <c r="X704" s="33">
        <v>6.1</v>
      </c>
    </row>
    <row r="705" spans="1:24" x14ac:dyDescent="0.2">
      <c r="A705" s="7" t="s">
        <v>92</v>
      </c>
      <c r="B705" s="7">
        <v>521</v>
      </c>
      <c r="C705" s="7">
        <v>632</v>
      </c>
      <c r="D705" s="7">
        <v>537</v>
      </c>
      <c r="E705" s="7">
        <v>522</v>
      </c>
      <c r="F705" s="7">
        <v>548</v>
      </c>
      <c r="G705" s="7">
        <v>501</v>
      </c>
      <c r="H705" s="7">
        <v>496</v>
      </c>
      <c r="I705" s="7">
        <v>473</v>
      </c>
      <c r="J705" s="7">
        <v>331</v>
      </c>
      <c r="K705" s="7">
        <v>153</v>
      </c>
      <c r="L705" s="7">
        <v>128</v>
      </c>
      <c r="M705" s="7">
        <v>126</v>
      </c>
      <c r="N705" s="7">
        <v>125</v>
      </c>
      <c r="O705" s="7">
        <v>137</v>
      </c>
      <c r="P705" s="7">
        <v>129</v>
      </c>
      <c r="Q705" s="7">
        <v>129</v>
      </c>
      <c r="R705" s="7">
        <v>126</v>
      </c>
      <c r="S705" s="7">
        <v>142</v>
      </c>
      <c r="T705" s="7">
        <v>134</v>
      </c>
      <c r="U705" s="7">
        <v>132</v>
      </c>
      <c r="W705" s="35" t="s">
        <v>51</v>
      </c>
      <c r="X705" s="45">
        <v>63468</v>
      </c>
    </row>
    <row r="706" spans="1:24" x14ac:dyDescent="0.2">
      <c r="A706" s="2" t="s">
        <v>290</v>
      </c>
      <c r="B706" s="2">
        <v>521</v>
      </c>
      <c r="C706" s="2">
        <v>632</v>
      </c>
      <c r="D706" s="2">
        <v>537</v>
      </c>
      <c r="E706" s="2">
        <v>522</v>
      </c>
      <c r="F706" s="2">
        <v>548</v>
      </c>
      <c r="G706" s="2">
        <v>501</v>
      </c>
      <c r="H706" s="2">
        <v>496</v>
      </c>
      <c r="I706" s="2">
        <v>473</v>
      </c>
      <c r="J706" s="2">
        <v>331</v>
      </c>
      <c r="K706" s="2">
        <v>153</v>
      </c>
      <c r="L706" s="2">
        <v>128</v>
      </c>
      <c r="M706" s="2">
        <v>126</v>
      </c>
      <c r="N706" s="2">
        <v>125</v>
      </c>
      <c r="O706" s="2">
        <v>137</v>
      </c>
      <c r="P706" s="2">
        <v>129</v>
      </c>
      <c r="Q706" s="2">
        <v>129</v>
      </c>
      <c r="R706" s="2">
        <v>126</v>
      </c>
      <c r="S706" s="2">
        <v>142</v>
      </c>
      <c r="T706" s="2">
        <v>134</v>
      </c>
      <c r="U706" s="2">
        <v>132</v>
      </c>
      <c r="W706" s="33" t="s">
        <v>344</v>
      </c>
      <c r="X706" s="38" t="s">
        <v>59</v>
      </c>
    </row>
    <row r="707" spans="1:24" x14ac:dyDescent="0.2">
      <c r="A707" s="7" t="s">
        <v>56</v>
      </c>
      <c r="B707" s="7">
        <v>13</v>
      </c>
      <c r="C707" s="7">
        <v>12</v>
      </c>
      <c r="D707" s="7">
        <v>8</v>
      </c>
      <c r="E707" s="7">
        <v>16</v>
      </c>
      <c r="F707" s="7">
        <v>233</v>
      </c>
      <c r="G707" s="7">
        <v>87</v>
      </c>
      <c r="H707" s="7">
        <v>0</v>
      </c>
      <c r="I707" s="7">
        <v>26</v>
      </c>
      <c r="J707" s="7">
        <v>15</v>
      </c>
      <c r="K707" s="7">
        <v>15</v>
      </c>
      <c r="L707" s="7">
        <v>0</v>
      </c>
      <c r="M707" s="7">
        <v>1</v>
      </c>
      <c r="N707" s="7">
        <v>1</v>
      </c>
      <c r="O707" s="7">
        <v>11</v>
      </c>
      <c r="P707" s="7">
        <v>2</v>
      </c>
      <c r="Q707" s="7">
        <v>0</v>
      </c>
      <c r="R707" s="7">
        <v>0</v>
      </c>
      <c r="S707" s="7">
        <v>10</v>
      </c>
      <c r="T707" s="7">
        <v>1</v>
      </c>
      <c r="U707" s="7">
        <v>0</v>
      </c>
      <c r="W707" s="35" t="s">
        <v>345</v>
      </c>
      <c r="X707" s="39" t="s">
        <v>59</v>
      </c>
    </row>
    <row r="708" spans="1:24" x14ac:dyDescent="0.2">
      <c r="A708" s="11" t="s">
        <v>58</v>
      </c>
      <c r="B708" s="11">
        <v>13</v>
      </c>
      <c r="C708" s="11">
        <v>12</v>
      </c>
      <c r="D708" s="11">
        <v>8</v>
      </c>
      <c r="E708" s="11">
        <v>16</v>
      </c>
      <c r="F708" s="11">
        <v>172</v>
      </c>
      <c r="G708" s="17" t="s">
        <v>59</v>
      </c>
      <c r="H708" s="11">
        <v>6</v>
      </c>
      <c r="I708" s="17" t="s">
        <v>59</v>
      </c>
      <c r="J708" s="17" t="s">
        <v>59</v>
      </c>
      <c r="K708" s="17" t="s">
        <v>59</v>
      </c>
      <c r="L708" s="11">
        <v>0</v>
      </c>
      <c r="M708" s="11">
        <v>1</v>
      </c>
      <c r="N708" s="11">
        <v>1</v>
      </c>
      <c r="O708" s="11">
        <v>11</v>
      </c>
      <c r="P708" s="11">
        <v>2</v>
      </c>
      <c r="Q708" s="11">
        <v>0</v>
      </c>
      <c r="R708" s="11">
        <v>0</v>
      </c>
      <c r="S708" s="11">
        <v>10</v>
      </c>
      <c r="T708" s="11">
        <v>1</v>
      </c>
      <c r="U708" s="11">
        <v>0</v>
      </c>
      <c r="W708" s="33" t="s">
        <v>346</v>
      </c>
      <c r="X708" s="38" t="s">
        <v>59</v>
      </c>
    </row>
    <row r="709" spans="1:24" x14ac:dyDescent="0.2">
      <c r="A709" s="6" t="s">
        <v>171</v>
      </c>
      <c r="B709" s="6">
        <v>13</v>
      </c>
      <c r="C709" s="6">
        <v>12</v>
      </c>
      <c r="D709" s="6">
        <v>8</v>
      </c>
      <c r="E709" s="6">
        <v>16</v>
      </c>
      <c r="F709" s="6">
        <v>144</v>
      </c>
      <c r="G709" s="6">
        <v>0</v>
      </c>
      <c r="H709" s="6">
        <v>0</v>
      </c>
      <c r="I709" s="6">
        <v>0</v>
      </c>
      <c r="J709" s="6">
        <v>0</v>
      </c>
      <c r="K709" s="6">
        <v>0</v>
      </c>
      <c r="L709" s="6">
        <v>0</v>
      </c>
      <c r="M709" s="6">
        <v>1</v>
      </c>
      <c r="N709" s="6">
        <v>1</v>
      </c>
      <c r="O709" s="6">
        <v>11</v>
      </c>
      <c r="P709" s="6">
        <v>2</v>
      </c>
      <c r="Q709" s="6">
        <v>0</v>
      </c>
      <c r="R709" s="6">
        <v>0</v>
      </c>
      <c r="S709" s="6">
        <v>10</v>
      </c>
      <c r="T709" s="6">
        <v>1</v>
      </c>
      <c r="U709" s="6">
        <v>0</v>
      </c>
      <c r="W709" s="35" t="s">
        <v>66</v>
      </c>
      <c r="X709" s="35">
        <v>16.600000000000001</v>
      </c>
    </row>
    <row r="710" spans="1:24" x14ac:dyDescent="0.2">
      <c r="A710" s="2" t="s">
        <v>347</v>
      </c>
      <c r="B710" s="2">
        <v>0</v>
      </c>
      <c r="C710" s="2">
        <v>0</v>
      </c>
      <c r="D710" s="2">
        <v>0</v>
      </c>
      <c r="E710" s="2">
        <v>0</v>
      </c>
      <c r="F710" s="2">
        <v>12</v>
      </c>
      <c r="G710" s="2">
        <v>0</v>
      </c>
      <c r="H710" s="2">
        <v>0</v>
      </c>
      <c r="I710" s="2">
        <v>0</v>
      </c>
      <c r="J710" s="2">
        <v>0</v>
      </c>
      <c r="K710" s="2">
        <v>0</v>
      </c>
      <c r="L710" s="2">
        <v>0</v>
      </c>
      <c r="M710" s="2">
        <v>0</v>
      </c>
      <c r="N710" s="2">
        <v>0</v>
      </c>
      <c r="O710" s="2">
        <v>0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0</v>
      </c>
      <c r="W710" s="33"/>
      <c r="X710" s="33"/>
    </row>
    <row r="711" spans="1:24" x14ac:dyDescent="0.2">
      <c r="A711" s="6" t="s">
        <v>61</v>
      </c>
      <c r="B711" s="16" t="s">
        <v>59</v>
      </c>
      <c r="C711" s="16" t="s">
        <v>59</v>
      </c>
      <c r="D711" s="16" t="s">
        <v>59</v>
      </c>
      <c r="E711" s="16" t="s">
        <v>59</v>
      </c>
      <c r="F711" s="6">
        <v>16</v>
      </c>
      <c r="G711" s="16" t="s">
        <v>59</v>
      </c>
      <c r="H711" s="6">
        <v>6</v>
      </c>
      <c r="I711" s="16" t="s">
        <v>59</v>
      </c>
      <c r="J711" s="16" t="s">
        <v>59</v>
      </c>
      <c r="K711" s="16" t="s">
        <v>59</v>
      </c>
      <c r="L711" s="16" t="s">
        <v>59</v>
      </c>
      <c r="M711" s="16" t="s">
        <v>59</v>
      </c>
      <c r="N711" s="16" t="s">
        <v>59</v>
      </c>
      <c r="O711" s="16" t="s">
        <v>59</v>
      </c>
      <c r="P711" s="16" t="s">
        <v>59</v>
      </c>
      <c r="Q711" s="16" t="s">
        <v>59</v>
      </c>
      <c r="R711" s="16" t="s">
        <v>59</v>
      </c>
      <c r="S711" s="16" t="s">
        <v>59</v>
      </c>
      <c r="T711" s="16" t="s">
        <v>59</v>
      </c>
      <c r="U711" s="16" t="s">
        <v>59</v>
      </c>
      <c r="W711" s="33" t="s">
        <v>69</v>
      </c>
      <c r="X711" s="33"/>
    </row>
    <row r="712" spans="1:24" x14ac:dyDescent="0.2">
      <c r="A712" s="2" t="s">
        <v>348</v>
      </c>
      <c r="B712" s="2">
        <v>0</v>
      </c>
      <c r="C712" s="2">
        <v>0</v>
      </c>
      <c r="D712" s="2">
        <v>0</v>
      </c>
      <c r="E712" s="2">
        <v>0</v>
      </c>
      <c r="F712" s="15" t="s">
        <v>59</v>
      </c>
      <c r="G712" s="2">
        <v>10</v>
      </c>
      <c r="H712" s="15" t="s">
        <v>59</v>
      </c>
      <c r="I712" s="2">
        <v>0</v>
      </c>
      <c r="J712" s="15" t="s">
        <v>59</v>
      </c>
      <c r="K712" s="15" t="s">
        <v>59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0</v>
      </c>
      <c r="W712" s="34" t="s">
        <v>1</v>
      </c>
      <c r="X712" s="34" t="s">
        <v>7</v>
      </c>
    </row>
    <row r="713" spans="1:24" x14ac:dyDescent="0.2">
      <c r="A713" s="6" t="s">
        <v>65</v>
      </c>
      <c r="B713" s="6">
        <v>0</v>
      </c>
      <c r="C713" s="6">
        <v>0</v>
      </c>
      <c r="D713" s="6">
        <v>0</v>
      </c>
      <c r="E713" s="6">
        <v>0</v>
      </c>
      <c r="F713" s="6">
        <v>61</v>
      </c>
      <c r="G713" s="6">
        <v>0</v>
      </c>
      <c r="H713" s="6">
        <v>8</v>
      </c>
      <c r="I713" s="6">
        <v>26</v>
      </c>
      <c r="J713" s="6">
        <v>15</v>
      </c>
      <c r="K713" s="6">
        <v>15</v>
      </c>
      <c r="L713" s="6">
        <v>0</v>
      </c>
      <c r="M713" s="6">
        <v>0</v>
      </c>
      <c r="N713" s="6">
        <v>0</v>
      </c>
      <c r="O713" s="6">
        <v>0</v>
      </c>
      <c r="P713" s="6">
        <v>0</v>
      </c>
      <c r="Q713" s="6">
        <v>0</v>
      </c>
      <c r="R713" s="6">
        <v>0</v>
      </c>
      <c r="S713" s="6">
        <v>0</v>
      </c>
      <c r="T713" s="6">
        <v>0</v>
      </c>
      <c r="U713" s="6">
        <v>0</v>
      </c>
      <c r="W713" s="35" t="s">
        <v>34</v>
      </c>
      <c r="X713" s="45">
        <v>8154</v>
      </c>
    </row>
    <row r="714" spans="1:24" x14ac:dyDescent="0.2">
      <c r="A714" s="11" t="s">
        <v>68</v>
      </c>
      <c r="B714" s="17" t="s">
        <v>59</v>
      </c>
      <c r="C714" s="17" t="s">
        <v>59</v>
      </c>
      <c r="D714" s="17" t="s">
        <v>59</v>
      </c>
      <c r="E714" s="17" t="s">
        <v>59</v>
      </c>
      <c r="F714" s="17" t="s">
        <v>59</v>
      </c>
      <c r="G714" s="11">
        <v>-77</v>
      </c>
      <c r="H714" s="11">
        <v>14</v>
      </c>
      <c r="I714" s="17" t="s">
        <v>59</v>
      </c>
      <c r="J714" s="17" t="s">
        <v>59</v>
      </c>
      <c r="K714" s="17" t="s">
        <v>59</v>
      </c>
      <c r="L714" s="17" t="s">
        <v>59</v>
      </c>
      <c r="M714" s="17" t="s">
        <v>59</v>
      </c>
      <c r="N714" s="17" t="s">
        <v>59</v>
      </c>
      <c r="O714" s="17" t="s">
        <v>59</v>
      </c>
      <c r="P714" s="17" t="s">
        <v>59</v>
      </c>
      <c r="Q714" s="17" t="s">
        <v>59</v>
      </c>
      <c r="R714" s="17" t="s">
        <v>59</v>
      </c>
      <c r="S714" s="17" t="s">
        <v>59</v>
      </c>
      <c r="T714" s="17" t="s">
        <v>59</v>
      </c>
      <c r="U714" s="17" t="s">
        <v>59</v>
      </c>
      <c r="W714" s="33" t="s">
        <v>72</v>
      </c>
      <c r="X714" s="44">
        <v>2430</v>
      </c>
    </row>
    <row r="715" spans="1:24" x14ac:dyDescent="0.2">
      <c r="A715" s="6" t="s">
        <v>70</v>
      </c>
      <c r="B715" s="16" t="s">
        <v>59</v>
      </c>
      <c r="C715" s="16" t="s">
        <v>59</v>
      </c>
      <c r="D715" s="16" t="s">
        <v>59</v>
      </c>
      <c r="E715" s="16" t="s">
        <v>59</v>
      </c>
      <c r="F715" s="16" t="s">
        <v>59</v>
      </c>
      <c r="G715" s="13">
        <v>-77</v>
      </c>
      <c r="H715" s="6">
        <v>14</v>
      </c>
      <c r="I715" s="16" t="s">
        <v>59</v>
      </c>
      <c r="J715" s="16" t="s">
        <v>59</v>
      </c>
      <c r="K715" s="16" t="s">
        <v>59</v>
      </c>
      <c r="L715" s="16" t="s">
        <v>59</v>
      </c>
      <c r="M715" s="16" t="s">
        <v>59</v>
      </c>
      <c r="N715" s="16" t="s">
        <v>59</v>
      </c>
      <c r="O715" s="16" t="s">
        <v>59</v>
      </c>
      <c r="P715" s="16" t="s">
        <v>59</v>
      </c>
      <c r="Q715" s="16" t="s">
        <v>59</v>
      </c>
      <c r="R715" s="16" t="s">
        <v>59</v>
      </c>
      <c r="S715" s="16" t="s">
        <v>59</v>
      </c>
      <c r="T715" s="16" t="s">
        <v>59</v>
      </c>
      <c r="U715" s="16" t="s">
        <v>59</v>
      </c>
      <c r="W715" s="35" t="s">
        <v>349</v>
      </c>
      <c r="X715" s="39" t="s">
        <v>59</v>
      </c>
    </row>
    <row r="716" spans="1:24" x14ac:dyDescent="0.2">
      <c r="A716" s="11" t="s">
        <v>71</v>
      </c>
      <c r="B716" s="12">
        <v>1900</v>
      </c>
      <c r="C716" s="12">
        <v>1818</v>
      </c>
      <c r="D716" s="12">
        <v>1662</v>
      </c>
      <c r="E716" s="12">
        <v>1674</v>
      </c>
      <c r="F716" s="12">
        <v>1020</v>
      </c>
      <c r="G716" s="12">
        <v>1373</v>
      </c>
      <c r="H716" s="12">
        <v>1839</v>
      </c>
      <c r="I716" s="12">
        <v>2274</v>
      </c>
      <c r="J716" s="12">
        <v>1345</v>
      </c>
      <c r="K716" s="12">
        <v>1261</v>
      </c>
      <c r="L716" s="11">
        <v>541</v>
      </c>
      <c r="M716" s="11">
        <v>499</v>
      </c>
      <c r="N716" s="11">
        <v>429</v>
      </c>
      <c r="O716" s="11">
        <v>528</v>
      </c>
      <c r="P716" s="11">
        <v>502</v>
      </c>
      <c r="Q716" s="11">
        <v>487</v>
      </c>
      <c r="R716" s="11">
        <v>383</v>
      </c>
      <c r="S716" s="11">
        <v>464</v>
      </c>
      <c r="T716" s="11">
        <v>505</v>
      </c>
      <c r="U716" s="11">
        <v>478</v>
      </c>
      <c r="W716" s="33" t="s">
        <v>43</v>
      </c>
      <c r="X716" s="38" t="s">
        <v>59</v>
      </c>
    </row>
    <row r="717" spans="1:24" x14ac:dyDescent="0.2">
      <c r="A717" s="6" t="s">
        <v>35</v>
      </c>
      <c r="B717" s="6">
        <v>4.51</v>
      </c>
      <c r="C717" s="6">
        <v>9.39</v>
      </c>
      <c r="D717" s="13">
        <v>-0.72</v>
      </c>
      <c r="E717" s="6">
        <v>64.12</v>
      </c>
      <c r="F717" s="13">
        <v>-25.71</v>
      </c>
      <c r="G717" s="13">
        <v>-25.34</v>
      </c>
      <c r="H717" s="13">
        <v>-19.13</v>
      </c>
      <c r="I717" s="6">
        <v>69.069999999999993</v>
      </c>
      <c r="J717" s="6">
        <v>6.66</v>
      </c>
      <c r="K717" s="13">
        <v>-11.63</v>
      </c>
      <c r="L717" s="6">
        <v>7.77</v>
      </c>
      <c r="M717" s="6">
        <v>2.46</v>
      </c>
      <c r="N717" s="6">
        <v>12.01</v>
      </c>
      <c r="O717" s="6">
        <v>13.79</v>
      </c>
      <c r="P717" s="13">
        <v>-0.59</v>
      </c>
      <c r="Q717" s="6">
        <v>1.88</v>
      </c>
      <c r="R717" s="6">
        <v>3.23</v>
      </c>
      <c r="S717" s="6">
        <v>8.67</v>
      </c>
      <c r="T717" s="6">
        <v>12.98</v>
      </c>
      <c r="U717" s="6">
        <v>22.56</v>
      </c>
      <c r="W717" s="42" t="s">
        <v>74</v>
      </c>
      <c r="X717" s="48" t="s">
        <v>59</v>
      </c>
    </row>
    <row r="718" spans="1:24" x14ac:dyDescent="0.2">
      <c r="A718" s="2" t="s">
        <v>48</v>
      </c>
      <c r="B718" s="2">
        <v>25.17</v>
      </c>
      <c r="C718" s="2">
        <v>25.69</v>
      </c>
      <c r="D718" s="2">
        <v>24.29</v>
      </c>
      <c r="E718" s="2">
        <v>25.43</v>
      </c>
      <c r="F718" s="2">
        <v>18.05</v>
      </c>
      <c r="G718" s="2">
        <v>24.53</v>
      </c>
      <c r="H718" s="2">
        <v>32.33</v>
      </c>
      <c r="I718" s="2">
        <v>38.69</v>
      </c>
      <c r="J718" s="2">
        <v>21.16</v>
      </c>
      <c r="K718" s="2">
        <v>19.579999999999998</v>
      </c>
      <c r="L718" s="2">
        <v>27.34</v>
      </c>
      <c r="M718" s="2">
        <v>25.81</v>
      </c>
      <c r="N718" s="2">
        <v>24.01</v>
      </c>
      <c r="O718" s="2">
        <v>22.35</v>
      </c>
      <c r="P718" s="2">
        <v>27.49</v>
      </c>
      <c r="Q718" s="2">
        <v>27.62</v>
      </c>
      <c r="R718" s="2">
        <v>23.97</v>
      </c>
      <c r="S718" s="2">
        <v>22.79</v>
      </c>
      <c r="T718" s="2">
        <v>29.57</v>
      </c>
      <c r="U718" s="2">
        <v>28.33</v>
      </c>
      <c r="W718" s="33" t="s">
        <v>76</v>
      </c>
      <c r="X718" s="44">
        <v>1780</v>
      </c>
    </row>
    <row r="719" spans="1:24" x14ac:dyDescent="0.2">
      <c r="A719" s="7" t="s">
        <v>73</v>
      </c>
      <c r="B719" s="7">
        <v>414</v>
      </c>
      <c r="C719" s="7">
        <v>221</v>
      </c>
      <c r="D719" s="7">
        <v>337</v>
      </c>
      <c r="E719" s="7">
        <v>99</v>
      </c>
      <c r="F719" s="7">
        <v>116</v>
      </c>
      <c r="G719" s="7">
        <v>79</v>
      </c>
      <c r="H719" s="7">
        <v>297</v>
      </c>
      <c r="I719" s="7">
        <v>934</v>
      </c>
      <c r="J719" s="7">
        <v>327</v>
      </c>
      <c r="K719" s="7">
        <v>325</v>
      </c>
      <c r="L719" s="7">
        <v>144</v>
      </c>
      <c r="M719" s="7">
        <v>125</v>
      </c>
      <c r="N719" s="7">
        <v>176</v>
      </c>
      <c r="O719" s="7">
        <v>105</v>
      </c>
      <c r="P719" s="7">
        <v>120</v>
      </c>
      <c r="Q719" s="7">
        <v>120</v>
      </c>
      <c r="R719" s="7">
        <v>69</v>
      </c>
      <c r="S719" s="7">
        <v>1</v>
      </c>
      <c r="T719" s="7">
        <v>89</v>
      </c>
      <c r="U719" s="7">
        <v>60</v>
      </c>
      <c r="W719" s="35" t="s">
        <v>78</v>
      </c>
      <c r="X719" s="45">
        <v>1178</v>
      </c>
    </row>
    <row r="720" spans="1:24" x14ac:dyDescent="0.2">
      <c r="A720" s="2" t="s">
        <v>75</v>
      </c>
      <c r="B720" s="2">
        <v>218</v>
      </c>
      <c r="C720" s="2">
        <v>289</v>
      </c>
      <c r="D720" s="2">
        <v>192</v>
      </c>
      <c r="E720" s="2">
        <v>85</v>
      </c>
      <c r="F720" s="2">
        <v>60</v>
      </c>
      <c r="G720" s="2">
        <v>145</v>
      </c>
      <c r="H720" s="2">
        <v>127</v>
      </c>
      <c r="I720" s="2">
        <v>10</v>
      </c>
      <c r="J720" s="2">
        <v>139</v>
      </c>
      <c r="K720" s="2">
        <v>296</v>
      </c>
      <c r="L720" s="15" t="s">
        <v>59</v>
      </c>
      <c r="M720" s="15" t="s">
        <v>59</v>
      </c>
      <c r="N720" s="15" t="s">
        <v>59</v>
      </c>
      <c r="O720" s="15" t="s">
        <v>59</v>
      </c>
      <c r="P720" s="15" t="s">
        <v>59</v>
      </c>
      <c r="Q720" s="15" t="s">
        <v>59</v>
      </c>
      <c r="R720" s="15" t="s">
        <v>59</v>
      </c>
      <c r="S720" s="15" t="s">
        <v>59</v>
      </c>
      <c r="T720" s="15" t="s">
        <v>59</v>
      </c>
      <c r="U720" s="15" t="s">
        <v>59</v>
      </c>
      <c r="W720" s="46" t="s">
        <v>82</v>
      </c>
      <c r="X720" s="47">
        <v>2862</v>
      </c>
    </row>
    <row r="721" spans="1:24" x14ac:dyDescent="0.2">
      <c r="A721" s="6" t="s">
        <v>77</v>
      </c>
      <c r="B721" s="6">
        <v>226</v>
      </c>
      <c r="C721" s="6">
        <v>222</v>
      </c>
      <c r="D721" s="6">
        <v>200</v>
      </c>
      <c r="E721" s="6">
        <v>214</v>
      </c>
      <c r="F721" s="6">
        <v>121</v>
      </c>
      <c r="G721" s="6">
        <v>166</v>
      </c>
      <c r="H721" s="6">
        <v>181</v>
      </c>
      <c r="I721" s="6">
        <v>290</v>
      </c>
      <c r="J721" s="6">
        <v>160</v>
      </c>
      <c r="K721" s="6">
        <v>131</v>
      </c>
      <c r="L721" s="16" t="s">
        <v>59</v>
      </c>
      <c r="M721" s="16" t="s">
        <v>59</v>
      </c>
      <c r="N721" s="16" t="s">
        <v>59</v>
      </c>
      <c r="O721" s="16" t="s">
        <v>59</v>
      </c>
      <c r="P721" s="16" t="s">
        <v>59</v>
      </c>
      <c r="Q721" s="16" t="s">
        <v>59</v>
      </c>
      <c r="R721" s="16" t="s">
        <v>59</v>
      </c>
      <c r="S721" s="16" t="s">
        <v>59</v>
      </c>
      <c r="T721" s="16" t="s">
        <v>59</v>
      </c>
      <c r="U721" s="16" t="s">
        <v>59</v>
      </c>
      <c r="W721" s="35" t="s">
        <v>84</v>
      </c>
      <c r="X721" s="45">
        <v>2885</v>
      </c>
    </row>
    <row r="722" spans="1:24" x14ac:dyDescent="0.2">
      <c r="A722" s="2" t="s">
        <v>79</v>
      </c>
      <c r="B722" s="9">
        <v>-45</v>
      </c>
      <c r="C722" s="9">
        <v>-137</v>
      </c>
      <c r="D722" s="9">
        <v>-45</v>
      </c>
      <c r="E722" s="2">
        <v>27</v>
      </c>
      <c r="F722" s="9">
        <v>-36</v>
      </c>
      <c r="G722" s="9">
        <v>-19</v>
      </c>
      <c r="H722" s="9">
        <v>-16</v>
      </c>
      <c r="I722" s="2">
        <v>615</v>
      </c>
      <c r="J722" s="2">
        <v>25</v>
      </c>
      <c r="K722" s="9">
        <v>-117</v>
      </c>
      <c r="L722" s="15" t="s">
        <v>59</v>
      </c>
      <c r="M722" s="15" t="s">
        <v>59</v>
      </c>
      <c r="N722" s="15" t="s">
        <v>59</v>
      </c>
      <c r="O722" s="15" t="s">
        <v>59</v>
      </c>
      <c r="P722" s="15" t="s">
        <v>59</v>
      </c>
      <c r="Q722" s="15" t="s">
        <v>59</v>
      </c>
      <c r="R722" s="15" t="s">
        <v>59</v>
      </c>
      <c r="S722" s="15" t="s">
        <v>59</v>
      </c>
      <c r="T722" s="15" t="s">
        <v>59</v>
      </c>
      <c r="U722" s="15" t="s">
        <v>59</v>
      </c>
      <c r="W722" s="33" t="s">
        <v>85</v>
      </c>
      <c r="X722" s="44">
        <v>2834</v>
      </c>
    </row>
    <row r="723" spans="1:24" x14ac:dyDescent="0.2">
      <c r="A723" s="6" t="s">
        <v>81</v>
      </c>
      <c r="B723" s="6">
        <v>15</v>
      </c>
      <c r="C723" s="13">
        <v>-153</v>
      </c>
      <c r="D723" s="13">
        <v>-10</v>
      </c>
      <c r="E723" s="13">
        <v>-227</v>
      </c>
      <c r="F723" s="13">
        <v>-29</v>
      </c>
      <c r="G723" s="13">
        <v>-213</v>
      </c>
      <c r="H723" s="6">
        <v>5</v>
      </c>
      <c r="I723" s="6">
        <v>19</v>
      </c>
      <c r="J723" s="6">
        <v>3</v>
      </c>
      <c r="K723" s="6">
        <v>15</v>
      </c>
      <c r="L723" s="16" t="s">
        <v>59</v>
      </c>
      <c r="M723" s="16" t="s">
        <v>59</v>
      </c>
      <c r="N723" s="16" t="s">
        <v>59</v>
      </c>
      <c r="O723" s="16" t="s">
        <v>59</v>
      </c>
      <c r="P723" s="16" t="s">
        <v>59</v>
      </c>
      <c r="Q723" s="16" t="s">
        <v>59</v>
      </c>
      <c r="R723" s="16" t="s">
        <v>59</v>
      </c>
      <c r="S723" s="16" t="s">
        <v>59</v>
      </c>
      <c r="T723" s="16" t="s">
        <v>59</v>
      </c>
      <c r="U723" s="16" t="s">
        <v>59</v>
      </c>
      <c r="W723" s="35" t="s">
        <v>86</v>
      </c>
      <c r="X723" s="35">
        <v>191</v>
      </c>
    </row>
    <row r="724" spans="1:24" x14ac:dyDescent="0.2">
      <c r="A724" s="11" t="s">
        <v>83</v>
      </c>
      <c r="B724" s="12">
        <v>1486</v>
      </c>
      <c r="C724" s="12">
        <v>1597</v>
      </c>
      <c r="D724" s="12">
        <v>1325</v>
      </c>
      <c r="E724" s="12">
        <v>1575</v>
      </c>
      <c r="F724" s="11">
        <v>904</v>
      </c>
      <c r="G724" s="12">
        <v>1294</v>
      </c>
      <c r="H724" s="12">
        <v>1542</v>
      </c>
      <c r="I724" s="12">
        <v>1340</v>
      </c>
      <c r="J724" s="12">
        <v>1018</v>
      </c>
      <c r="K724" s="11">
        <v>936</v>
      </c>
      <c r="L724" s="11">
        <v>397</v>
      </c>
      <c r="M724" s="11">
        <v>374</v>
      </c>
      <c r="N724" s="11">
        <v>253</v>
      </c>
      <c r="O724" s="11">
        <v>423</v>
      </c>
      <c r="P724" s="11">
        <v>382</v>
      </c>
      <c r="Q724" s="11">
        <v>367</v>
      </c>
      <c r="R724" s="11">
        <v>314</v>
      </c>
      <c r="S724" s="11">
        <v>463</v>
      </c>
      <c r="T724" s="11">
        <v>416</v>
      </c>
      <c r="U724" s="11">
        <v>418</v>
      </c>
      <c r="W724" s="46" t="s">
        <v>88</v>
      </c>
      <c r="X724" s="47">
        <v>2673</v>
      </c>
    </row>
    <row r="725" spans="1:24" x14ac:dyDescent="0.2">
      <c r="A725" s="6" t="s">
        <v>35</v>
      </c>
      <c r="B725" s="13">
        <v>-6.95</v>
      </c>
      <c r="C725" s="6">
        <v>20.53</v>
      </c>
      <c r="D725" s="13">
        <v>-15.87</v>
      </c>
      <c r="E725" s="6">
        <v>74.23</v>
      </c>
      <c r="F725" s="13">
        <v>-30.14</v>
      </c>
      <c r="G725" s="13">
        <v>-16.079999999999998</v>
      </c>
      <c r="H725" s="6">
        <v>15.07</v>
      </c>
      <c r="I725" s="6">
        <v>31.63</v>
      </c>
      <c r="J725" s="6">
        <v>8.76</v>
      </c>
      <c r="K725" s="13">
        <v>-8.33</v>
      </c>
      <c r="L725" s="6">
        <v>3.93</v>
      </c>
      <c r="M725" s="6">
        <v>1.91</v>
      </c>
      <c r="N725" s="13">
        <v>-19.43</v>
      </c>
      <c r="O725" s="13">
        <v>-8.64</v>
      </c>
      <c r="P725" s="13">
        <v>-8.17</v>
      </c>
      <c r="Q725" s="13">
        <v>-12.2</v>
      </c>
      <c r="R725" s="6">
        <v>4.67</v>
      </c>
      <c r="S725" s="6">
        <v>24.8</v>
      </c>
      <c r="T725" s="6">
        <v>25.68</v>
      </c>
      <c r="U725" s="6">
        <v>86.61</v>
      </c>
      <c r="W725" s="35" t="s">
        <v>89</v>
      </c>
      <c r="X725" s="45">
        <v>2677</v>
      </c>
    </row>
    <row r="726" spans="1:24" x14ac:dyDescent="0.2">
      <c r="A726" s="2" t="s">
        <v>48</v>
      </c>
      <c r="B726" s="2">
        <v>19.68</v>
      </c>
      <c r="C726" s="2">
        <v>22.57</v>
      </c>
      <c r="D726" s="2">
        <v>19.37</v>
      </c>
      <c r="E726" s="2">
        <v>23.92</v>
      </c>
      <c r="F726" s="2">
        <v>15.99</v>
      </c>
      <c r="G726" s="2">
        <v>23.12</v>
      </c>
      <c r="H726" s="2">
        <v>27.11</v>
      </c>
      <c r="I726" s="2">
        <v>22.8</v>
      </c>
      <c r="J726" s="2">
        <v>16.02</v>
      </c>
      <c r="K726" s="2">
        <v>14.53</v>
      </c>
      <c r="L726" s="2">
        <v>20.059999999999999</v>
      </c>
      <c r="M726" s="2">
        <v>19.350000000000001</v>
      </c>
      <c r="N726" s="2">
        <v>14.16</v>
      </c>
      <c r="O726" s="2">
        <v>17.91</v>
      </c>
      <c r="P726" s="2">
        <v>20.92</v>
      </c>
      <c r="Q726" s="2">
        <v>20.82</v>
      </c>
      <c r="R726" s="2">
        <v>19.649999999999999</v>
      </c>
      <c r="S726" s="2">
        <v>22.74</v>
      </c>
      <c r="T726" s="2">
        <v>24.36</v>
      </c>
      <c r="U726" s="2">
        <v>24.78</v>
      </c>
      <c r="W726" s="33" t="s">
        <v>90</v>
      </c>
      <c r="X726" s="44">
        <v>2598</v>
      </c>
    </row>
    <row r="727" spans="1:24" x14ac:dyDescent="0.2">
      <c r="A727" s="7" t="s">
        <v>87</v>
      </c>
      <c r="B727" s="8">
        <v>1486</v>
      </c>
      <c r="C727" s="8">
        <v>1597</v>
      </c>
      <c r="D727" s="8">
        <v>1325</v>
      </c>
      <c r="E727" s="8">
        <v>1575</v>
      </c>
      <c r="F727" s="7">
        <v>904</v>
      </c>
      <c r="G727" s="8">
        <v>1294</v>
      </c>
      <c r="H727" s="8">
        <v>1542</v>
      </c>
      <c r="I727" s="8">
        <v>1340</v>
      </c>
      <c r="J727" s="8">
        <v>1018</v>
      </c>
      <c r="K727" s="7">
        <v>936</v>
      </c>
      <c r="L727" s="7">
        <v>397</v>
      </c>
      <c r="M727" s="7">
        <v>374</v>
      </c>
      <c r="N727" s="7">
        <v>253</v>
      </c>
      <c r="O727" s="7">
        <v>423</v>
      </c>
      <c r="P727" s="7">
        <v>382</v>
      </c>
      <c r="Q727" s="7">
        <v>367</v>
      </c>
      <c r="R727" s="7">
        <v>314</v>
      </c>
      <c r="S727" s="7">
        <v>463</v>
      </c>
      <c r="T727" s="7">
        <v>416</v>
      </c>
      <c r="U727" s="7">
        <v>418</v>
      </c>
      <c r="W727" s="35" t="s">
        <v>92</v>
      </c>
      <c r="X727" s="35">
        <v>504</v>
      </c>
    </row>
    <row r="728" spans="1:24" x14ac:dyDescent="0.2">
      <c r="A728" s="2" t="s">
        <v>35</v>
      </c>
      <c r="B728" s="9">
        <v>-6.95</v>
      </c>
      <c r="C728" s="2">
        <v>20.53</v>
      </c>
      <c r="D728" s="9">
        <v>-15.87</v>
      </c>
      <c r="E728" s="2">
        <v>74.23</v>
      </c>
      <c r="F728" s="9">
        <v>-30.14</v>
      </c>
      <c r="G728" s="9">
        <v>-16.079999999999998</v>
      </c>
      <c r="H728" s="2">
        <v>15.07</v>
      </c>
      <c r="I728" s="2">
        <v>31.63</v>
      </c>
      <c r="J728" s="2">
        <v>8.76</v>
      </c>
      <c r="K728" s="9">
        <v>-10.94</v>
      </c>
      <c r="L728" s="2">
        <v>3.93</v>
      </c>
      <c r="M728" s="2">
        <v>1.91</v>
      </c>
      <c r="N728" s="9">
        <v>-19.43</v>
      </c>
      <c r="O728" s="9">
        <v>-8.64</v>
      </c>
      <c r="P728" s="9">
        <v>-8.17</v>
      </c>
      <c r="Q728" s="9">
        <v>-12.2</v>
      </c>
      <c r="R728" s="2">
        <v>4.67</v>
      </c>
      <c r="S728" s="2">
        <v>24.8</v>
      </c>
      <c r="T728" s="2">
        <v>25.68</v>
      </c>
      <c r="U728" s="2">
        <v>86.61</v>
      </c>
      <c r="W728" s="46" t="s">
        <v>71</v>
      </c>
      <c r="X728" s="47">
        <v>2157</v>
      </c>
    </row>
    <row r="729" spans="1:24" x14ac:dyDescent="0.2">
      <c r="A729" s="6" t="s">
        <v>48</v>
      </c>
      <c r="B729" s="6">
        <v>19.68</v>
      </c>
      <c r="C729" s="6">
        <v>22.57</v>
      </c>
      <c r="D729" s="6">
        <v>19.37</v>
      </c>
      <c r="E729" s="6">
        <v>23.92</v>
      </c>
      <c r="F729" s="6">
        <v>15.99</v>
      </c>
      <c r="G729" s="6">
        <v>23.12</v>
      </c>
      <c r="H729" s="6">
        <v>27.11</v>
      </c>
      <c r="I729" s="6">
        <v>22.8</v>
      </c>
      <c r="J729" s="6">
        <v>16.02</v>
      </c>
      <c r="K729" s="6">
        <v>14.53</v>
      </c>
      <c r="L729" s="6">
        <v>20.059999999999999</v>
      </c>
      <c r="M729" s="6">
        <v>19.350000000000001</v>
      </c>
      <c r="N729" s="6">
        <v>14.16</v>
      </c>
      <c r="O729" s="6">
        <v>17.91</v>
      </c>
      <c r="P729" s="6">
        <v>20.92</v>
      </c>
      <c r="Q729" s="6">
        <v>20.82</v>
      </c>
      <c r="R729" s="6">
        <v>19.649999999999999</v>
      </c>
      <c r="S729" s="6">
        <v>22.74</v>
      </c>
      <c r="T729" s="6">
        <v>24.36</v>
      </c>
      <c r="U729" s="6">
        <v>24.78</v>
      </c>
      <c r="W729" s="35" t="s">
        <v>95</v>
      </c>
      <c r="X729" s="45">
        <v>2157</v>
      </c>
    </row>
    <row r="730" spans="1:24" x14ac:dyDescent="0.2">
      <c r="A730" s="2" t="s">
        <v>350</v>
      </c>
      <c r="B730" s="2">
        <v>0</v>
      </c>
      <c r="C730" s="2">
        <v>0</v>
      </c>
      <c r="D730" s="2">
        <v>0</v>
      </c>
      <c r="E730" s="2">
        <v>0</v>
      </c>
      <c r="F730" s="2">
        <v>0</v>
      </c>
      <c r="G730" s="2">
        <v>0</v>
      </c>
      <c r="H730" s="2">
        <v>0</v>
      </c>
      <c r="I730" s="2">
        <v>0</v>
      </c>
      <c r="J730" s="2">
        <v>625</v>
      </c>
      <c r="K730" s="2">
        <v>357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0</v>
      </c>
      <c r="W730" s="33" t="s">
        <v>97</v>
      </c>
      <c r="X730" s="44">
        <v>2123</v>
      </c>
    </row>
    <row r="731" spans="1:24" x14ac:dyDescent="0.2">
      <c r="A731" s="6" t="s">
        <v>91</v>
      </c>
      <c r="B731" s="18">
        <v>1486</v>
      </c>
      <c r="C731" s="18">
        <v>1597</v>
      </c>
      <c r="D731" s="18">
        <v>1325</v>
      </c>
      <c r="E731" s="18">
        <v>1575</v>
      </c>
      <c r="F731" s="6">
        <v>904</v>
      </c>
      <c r="G731" s="18">
        <v>1294</v>
      </c>
      <c r="H731" s="18">
        <v>1542</v>
      </c>
      <c r="I731" s="18">
        <v>1340</v>
      </c>
      <c r="J731" s="18">
        <v>1643</v>
      </c>
      <c r="K731" s="18">
        <v>1293</v>
      </c>
      <c r="L731" s="6">
        <v>397</v>
      </c>
      <c r="M731" s="6">
        <v>374</v>
      </c>
      <c r="N731" s="6">
        <v>253</v>
      </c>
      <c r="O731" s="6">
        <v>423</v>
      </c>
      <c r="P731" s="6">
        <v>382</v>
      </c>
      <c r="Q731" s="6">
        <v>367</v>
      </c>
      <c r="R731" s="6">
        <v>314</v>
      </c>
      <c r="S731" s="6">
        <v>463</v>
      </c>
      <c r="T731" s="6">
        <v>416</v>
      </c>
      <c r="U731" s="6">
        <v>418</v>
      </c>
      <c r="W731" s="35" t="s">
        <v>99</v>
      </c>
      <c r="X731" s="35">
        <v>501</v>
      </c>
    </row>
    <row r="732" spans="1:24" x14ac:dyDescent="0.2">
      <c r="A732" s="11" t="s">
        <v>93</v>
      </c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W732" s="46" t="s">
        <v>87</v>
      </c>
      <c r="X732" s="47">
        <v>1701</v>
      </c>
    </row>
    <row r="733" spans="1:24" x14ac:dyDescent="0.2">
      <c r="A733" s="6" t="s">
        <v>94</v>
      </c>
      <c r="B733" s="6">
        <v>5.25</v>
      </c>
      <c r="C733" s="6">
        <v>5.63</v>
      </c>
      <c r="D733" s="6">
        <v>4.59</v>
      </c>
      <c r="E733" s="6">
        <v>5.25</v>
      </c>
      <c r="F733" s="6">
        <v>3.48</v>
      </c>
      <c r="G733" s="6">
        <v>4.33</v>
      </c>
      <c r="H733" s="6">
        <v>4.6900000000000004</v>
      </c>
      <c r="I733" s="6">
        <v>3.83</v>
      </c>
      <c r="J733" s="6">
        <v>4.13</v>
      </c>
      <c r="K733" s="6">
        <v>2.94</v>
      </c>
      <c r="L733" s="6">
        <v>1.41</v>
      </c>
      <c r="M733" s="6">
        <v>1.33</v>
      </c>
      <c r="N733" s="6">
        <v>0.9</v>
      </c>
      <c r="O733" s="6">
        <v>1.52</v>
      </c>
      <c r="P733" s="6">
        <v>1.35</v>
      </c>
      <c r="Q733" s="6">
        <v>1.28</v>
      </c>
      <c r="R733" s="6">
        <v>1.1000000000000001</v>
      </c>
      <c r="S733" s="6">
        <v>1.65</v>
      </c>
      <c r="T733" s="6">
        <v>1.46</v>
      </c>
      <c r="U733" s="6">
        <v>1.46</v>
      </c>
      <c r="W733" s="35" t="s">
        <v>102</v>
      </c>
      <c r="X733" s="45">
        <v>1701</v>
      </c>
    </row>
    <row r="734" spans="1:24" x14ac:dyDescent="0.2">
      <c r="A734" s="11" t="s">
        <v>96</v>
      </c>
      <c r="B734" s="11">
        <v>5.27</v>
      </c>
      <c r="C734" s="11">
        <v>5.68</v>
      </c>
      <c r="D734" s="11">
        <v>4.63</v>
      </c>
      <c r="E734" s="11">
        <v>5.3</v>
      </c>
      <c r="F734" s="11">
        <v>2.99</v>
      </c>
      <c r="G734" s="11">
        <v>4.2300000000000004</v>
      </c>
      <c r="H734" s="11">
        <v>4.79</v>
      </c>
      <c r="I734" s="11">
        <v>3.86</v>
      </c>
      <c r="J734" s="11">
        <v>4.17</v>
      </c>
      <c r="K734" s="11">
        <v>2.97</v>
      </c>
      <c r="L734" s="11">
        <v>1.43</v>
      </c>
      <c r="M734" s="11">
        <v>1.34</v>
      </c>
      <c r="N734" s="11">
        <v>0.9</v>
      </c>
      <c r="O734" s="11">
        <v>1.51</v>
      </c>
      <c r="P734" s="11">
        <v>1.35</v>
      </c>
      <c r="Q734" s="11">
        <v>1.3</v>
      </c>
      <c r="R734" s="11">
        <v>1.1100000000000001</v>
      </c>
      <c r="S734" s="11">
        <v>1.65</v>
      </c>
      <c r="T734" s="11">
        <v>1.48</v>
      </c>
      <c r="U734" s="11">
        <v>1.49</v>
      </c>
      <c r="W734" s="33" t="s">
        <v>104</v>
      </c>
      <c r="X734" s="44">
        <v>1560</v>
      </c>
    </row>
    <row r="735" spans="1:24" x14ac:dyDescent="0.2">
      <c r="A735" s="6" t="s">
        <v>98</v>
      </c>
      <c r="B735" s="6">
        <v>282</v>
      </c>
      <c r="C735" s="6">
        <v>281</v>
      </c>
      <c r="D735" s="6">
        <v>286</v>
      </c>
      <c r="E735" s="6">
        <v>297</v>
      </c>
      <c r="F735" s="6">
        <v>302</v>
      </c>
      <c r="G735" s="6">
        <v>306</v>
      </c>
      <c r="H735" s="6">
        <v>322</v>
      </c>
      <c r="I735" s="6">
        <v>347</v>
      </c>
      <c r="J735" s="6">
        <v>394</v>
      </c>
      <c r="K735" s="6">
        <v>436</v>
      </c>
      <c r="L735" s="6">
        <v>278</v>
      </c>
      <c r="M735" s="6">
        <v>279</v>
      </c>
      <c r="N735" s="6">
        <v>280</v>
      </c>
      <c r="O735" s="6">
        <v>280</v>
      </c>
      <c r="P735" s="6">
        <v>282</v>
      </c>
      <c r="Q735" s="6">
        <v>282</v>
      </c>
      <c r="R735" s="6">
        <v>282</v>
      </c>
      <c r="S735" s="6">
        <v>281</v>
      </c>
      <c r="T735" s="6">
        <v>281</v>
      </c>
      <c r="U735" s="6">
        <v>281</v>
      </c>
      <c r="W735" s="33"/>
      <c r="X735" s="33"/>
    </row>
    <row r="736" spans="1:24" x14ac:dyDescent="0.2">
      <c r="A736" s="2" t="s">
        <v>100</v>
      </c>
      <c r="B736" s="2">
        <v>279</v>
      </c>
      <c r="C736" s="2">
        <v>281</v>
      </c>
      <c r="D736" s="2">
        <v>280</v>
      </c>
      <c r="E736" s="2">
        <v>289</v>
      </c>
      <c r="F736" s="2">
        <v>300</v>
      </c>
      <c r="G736" s="2">
        <v>300</v>
      </c>
      <c r="H736" s="2">
        <v>306</v>
      </c>
      <c r="I736" s="2">
        <v>332</v>
      </c>
      <c r="J736" s="2">
        <v>355</v>
      </c>
      <c r="K736" s="2">
        <v>420</v>
      </c>
      <c r="L736" s="2">
        <v>278</v>
      </c>
      <c r="M736" s="2">
        <v>278</v>
      </c>
      <c r="N736" s="2">
        <v>278</v>
      </c>
      <c r="O736" s="2">
        <v>279</v>
      </c>
      <c r="P736" s="2">
        <v>280</v>
      </c>
      <c r="Q736" s="2">
        <v>281</v>
      </c>
      <c r="R736" s="2">
        <v>281</v>
      </c>
      <c r="S736" s="2">
        <v>281</v>
      </c>
      <c r="T736" s="2">
        <v>280</v>
      </c>
      <c r="U736" s="2">
        <v>280</v>
      </c>
      <c r="W736" s="33" t="s">
        <v>106</v>
      </c>
      <c r="X736" s="33"/>
    </row>
    <row r="737" spans="1:24" x14ac:dyDescent="0.2">
      <c r="A737" s="7" t="s">
        <v>101</v>
      </c>
      <c r="B737" s="7">
        <v>5.21</v>
      </c>
      <c r="C737" s="7">
        <v>5.6</v>
      </c>
      <c r="D737" s="7">
        <v>4.57</v>
      </c>
      <c r="E737" s="7">
        <v>5.22</v>
      </c>
      <c r="F737" s="7">
        <v>2.94</v>
      </c>
      <c r="G737" s="7">
        <v>4.13</v>
      </c>
      <c r="H737" s="7">
        <v>4.6900000000000004</v>
      </c>
      <c r="I737" s="7">
        <v>3.77</v>
      </c>
      <c r="J737" s="7">
        <v>4.1100000000000003</v>
      </c>
      <c r="K737" s="7">
        <v>2.92</v>
      </c>
      <c r="L737" s="7">
        <v>1.41</v>
      </c>
      <c r="M737" s="7">
        <v>1.33</v>
      </c>
      <c r="N737" s="7">
        <v>0.9</v>
      </c>
      <c r="O737" s="7">
        <v>1.49</v>
      </c>
      <c r="P737" s="7">
        <v>1.34</v>
      </c>
      <c r="Q737" s="7">
        <v>1.28</v>
      </c>
      <c r="R737" s="7">
        <v>1.1000000000000001</v>
      </c>
      <c r="S737" s="7">
        <v>1.62</v>
      </c>
      <c r="T737" s="7">
        <v>1.45</v>
      </c>
      <c r="U737" s="7">
        <v>1.46</v>
      </c>
      <c r="W737" s="34" t="s">
        <v>1</v>
      </c>
      <c r="X737" s="34" t="s">
        <v>7</v>
      </c>
    </row>
    <row r="738" spans="1:24" x14ac:dyDescent="0.2">
      <c r="A738" s="2" t="s">
        <v>103</v>
      </c>
      <c r="B738" s="2">
        <v>285</v>
      </c>
      <c r="C738" s="2">
        <v>285</v>
      </c>
      <c r="D738" s="2">
        <v>290</v>
      </c>
      <c r="E738" s="2">
        <v>302</v>
      </c>
      <c r="F738" s="2">
        <v>307</v>
      </c>
      <c r="G738" s="2">
        <v>313</v>
      </c>
      <c r="H738" s="2">
        <v>329</v>
      </c>
      <c r="I738" s="2">
        <v>355</v>
      </c>
      <c r="J738" s="2">
        <v>400</v>
      </c>
      <c r="K738" s="2">
        <v>443</v>
      </c>
      <c r="L738" s="2">
        <v>281</v>
      </c>
      <c r="M738" s="2">
        <v>281</v>
      </c>
      <c r="N738" s="2">
        <v>282</v>
      </c>
      <c r="O738" s="2">
        <v>283</v>
      </c>
      <c r="P738" s="2">
        <v>285</v>
      </c>
      <c r="Q738" s="2">
        <v>286</v>
      </c>
      <c r="R738" s="2">
        <v>286</v>
      </c>
      <c r="S738" s="2">
        <v>285</v>
      </c>
      <c r="T738" s="2">
        <v>286</v>
      </c>
      <c r="U738" s="2">
        <v>286</v>
      </c>
      <c r="W738" s="42" t="s">
        <v>107</v>
      </c>
      <c r="X738" s="43">
        <v>1662</v>
      </c>
    </row>
    <row r="739" spans="1:24" x14ac:dyDescent="0.2">
      <c r="A739" s="6" t="s">
        <v>100</v>
      </c>
      <c r="B739" s="6">
        <v>279</v>
      </c>
      <c r="C739" s="6">
        <v>281</v>
      </c>
      <c r="D739" s="6">
        <v>280</v>
      </c>
      <c r="E739" s="6">
        <v>289</v>
      </c>
      <c r="F739" s="6">
        <v>300</v>
      </c>
      <c r="G739" s="6">
        <v>300</v>
      </c>
      <c r="H739" s="6">
        <v>306</v>
      </c>
      <c r="I739" s="6">
        <v>332</v>
      </c>
      <c r="J739" s="6">
        <v>355</v>
      </c>
      <c r="K739" s="6">
        <v>420</v>
      </c>
      <c r="L739" s="6">
        <v>278</v>
      </c>
      <c r="M739" s="6">
        <v>278</v>
      </c>
      <c r="N739" s="6">
        <v>278</v>
      </c>
      <c r="O739" s="6">
        <v>279</v>
      </c>
      <c r="P739" s="6">
        <v>280</v>
      </c>
      <c r="Q739" s="6">
        <v>281</v>
      </c>
      <c r="R739" s="6">
        <v>281</v>
      </c>
      <c r="S739" s="6">
        <v>281</v>
      </c>
      <c r="T739" s="6">
        <v>280</v>
      </c>
      <c r="U739" s="6">
        <v>280</v>
      </c>
      <c r="W739" s="33" t="s">
        <v>109</v>
      </c>
      <c r="X739" s="33">
        <v>647</v>
      </c>
    </row>
    <row r="740" spans="1:24" x14ac:dyDescent="0.2">
      <c r="A740" s="2" t="s">
        <v>105</v>
      </c>
      <c r="B740" s="2">
        <v>86.75</v>
      </c>
      <c r="C740" s="2">
        <v>87.98</v>
      </c>
      <c r="D740" s="2">
        <v>89.4</v>
      </c>
      <c r="E740" s="2">
        <v>88.74</v>
      </c>
      <c r="F740" s="2">
        <v>87.66</v>
      </c>
      <c r="G740" s="2">
        <v>77.260000000000005</v>
      </c>
      <c r="H740" s="2">
        <v>91.62</v>
      </c>
      <c r="I740" s="2">
        <v>65.819999999999993</v>
      </c>
      <c r="J740" s="2">
        <v>73.150000000000006</v>
      </c>
      <c r="K740" s="2">
        <v>90.9</v>
      </c>
      <c r="L740" s="2">
        <v>91.54</v>
      </c>
      <c r="M740" s="2">
        <v>90.74</v>
      </c>
      <c r="N740" s="2">
        <v>86.7</v>
      </c>
      <c r="O740" s="2">
        <v>86.75</v>
      </c>
      <c r="P740" s="2">
        <v>83.54</v>
      </c>
      <c r="Q740" s="2">
        <v>83.64</v>
      </c>
      <c r="R740" s="2">
        <v>91.8</v>
      </c>
      <c r="S740" s="2">
        <v>87.98</v>
      </c>
      <c r="T740" s="2">
        <v>94.64</v>
      </c>
      <c r="U740" s="2">
        <v>94</v>
      </c>
      <c r="W740" s="35" t="s">
        <v>110</v>
      </c>
      <c r="X740" s="35">
        <v>766</v>
      </c>
    </row>
    <row r="741" spans="1:24" x14ac:dyDescent="0.2">
      <c r="A741" s="7" t="s">
        <v>156</v>
      </c>
      <c r="B741" s="7">
        <v>2.68</v>
      </c>
      <c r="C741" s="7">
        <v>2.42</v>
      </c>
      <c r="D741" s="7">
        <v>2.2799999999999998</v>
      </c>
      <c r="E741" s="7">
        <v>2</v>
      </c>
      <c r="F741" s="7">
        <v>1.88</v>
      </c>
      <c r="G741" s="7">
        <v>1.68</v>
      </c>
      <c r="H741" s="7">
        <v>1.44</v>
      </c>
      <c r="I741" s="7">
        <v>0.9</v>
      </c>
      <c r="J741" s="7">
        <v>1.73</v>
      </c>
      <c r="K741" s="7">
        <v>1.74</v>
      </c>
      <c r="L741" s="7">
        <v>0.71</v>
      </c>
      <c r="M741" s="7">
        <v>0.71</v>
      </c>
      <c r="N741" s="7">
        <v>0.71</v>
      </c>
      <c r="O741" s="7">
        <v>0.67</v>
      </c>
      <c r="P741" s="7">
        <v>0.67</v>
      </c>
      <c r="Q741" s="7">
        <v>0.67</v>
      </c>
      <c r="R741" s="7">
        <v>0.67</v>
      </c>
      <c r="S741" s="7">
        <v>0.61</v>
      </c>
      <c r="T741" s="7">
        <v>0.61</v>
      </c>
      <c r="U741" s="7">
        <v>0.61</v>
      </c>
      <c r="W741" s="33" t="s">
        <v>112</v>
      </c>
      <c r="X741" s="33">
        <v>0</v>
      </c>
    </row>
    <row r="742" spans="1:24" x14ac:dyDescent="0.2">
      <c r="A742" s="2" t="s">
        <v>323</v>
      </c>
      <c r="B742" s="2">
        <v>51.4</v>
      </c>
      <c r="C742" s="2">
        <v>43.19</v>
      </c>
      <c r="D742" s="2">
        <v>49.9</v>
      </c>
      <c r="E742" s="2">
        <v>38.35</v>
      </c>
      <c r="F742" s="2">
        <v>63.85</v>
      </c>
      <c r="G742" s="2">
        <v>40.64</v>
      </c>
      <c r="H742" s="2">
        <v>30.72</v>
      </c>
      <c r="I742" s="2">
        <v>23.87</v>
      </c>
      <c r="J742" s="2">
        <v>42.12</v>
      </c>
      <c r="K742" s="2">
        <v>59.62</v>
      </c>
      <c r="L742" s="2">
        <v>50.25</v>
      </c>
      <c r="M742" s="2">
        <v>53.34</v>
      </c>
      <c r="N742" s="2">
        <v>79.14</v>
      </c>
      <c r="O742" s="2">
        <v>44.83</v>
      </c>
      <c r="P742" s="2">
        <v>49.99</v>
      </c>
      <c r="Q742" s="2">
        <v>52.21</v>
      </c>
      <c r="R742" s="2">
        <v>61.03</v>
      </c>
      <c r="S742" s="2">
        <v>37.24</v>
      </c>
      <c r="T742" s="2">
        <v>41.59</v>
      </c>
      <c r="U742" s="2">
        <v>41.4</v>
      </c>
      <c r="W742" s="42" t="s">
        <v>114</v>
      </c>
      <c r="X742" s="43">
        <v>1280</v>
      </c>
    </row>
    <row r="743" spans="1:24" x14ac:dyDescent="0.2">
      <c r="A743" s="7" t="s">
        <v>82</v>
      </c>
      <c r="B743" s="7" t="s">
        <v>1</v>
      </c>
      <c r="C743" s="7" t="s">
        <v>1</v>
      </c>
      <c r="D743" s="7" t="s">
        <v>1</v>
      </c>
      <c r="E743" s="7" t="s">
        <v>1</v>
      </c>
      <c r="F743" s="7" t="s">
        <v>1</v>
      </c>
      <c r="G743" s="7" t="s">
        <v>1</v>
      </c>
      <c r="H743" s="7" t="s">
        <v>1</v>
      </c>
      <c r="I743" s="7" t="s">
        <v>1</v>
      </c>
      <c r="J743" s="7" t="s">
        <v>1</v>
      </c>
      <c r="K743" s="7" t="s">
        <v>1</v>
      </c>
      <c r="L743" s="7" t="s">
        <v>1</v>
      </c>
      <c r="M743" s="7" t="s">
        <v>1</v>
      </c>
      <c r="N743" s="7" t="s">
        <v>1</v>
      </c>
      <c r="O743" s="7" t="s">
        <v>1</v>
      </c>
      <c r="P743" s="7" t="s">
        <v>1</v>
      </c>
      <c r="Q743" s="7" t="s">
        <v>1</v>
      </c>
      <c r="R743" s="7" t="s">
        <v>1</v>
      </c>
      <c r="S743" s="7" t="s">
        <v>1</v>
      </c>
      <c r="T743" s="7" t="s">
        <v>1</v>
      </c>
      <c r="U743" s="7" t="s">
        <v>1</v>
      </c>
      <c r="W743" s="33" t="s">
        <v>116</v>
      </c>
      <c r="X743" s="44">
        <v>1217</v>
      </c>
    </row>
    <row r="744" spans="1:24" x14ac:dyDescent="0.2">
      <c r="A744" s="11" t="s">
        <v>82</v>
      </c>
      <c r="B744" s="12">
        <v>2613</v>
      </c>
      <c r="C744" s="12">
        <v>2506</v>
      </c>
      <c r="D744" s="12">
        <v>2355</v>
      </c>
      <c r="E744" s="12">
        <v>2316</v>
      </c>
      <c r="F744" s="12">
        <v>1879</v>
      </c>
      <c r="G744" s="12">
        <v>2059</v>
      </c>
      <c r="H744" s="12">
        <v>1954</v>
      </c>
      <c r="I744" s="12">
        <v>1959</v>
      </c>
      <c r="J744" s="12">
        <v>1847</v>
      </c>
      <c r="K744" s="12">
        <v>1774</v>
      </c>
      <c r="L744" s="11">
        <v>701</v>
      </c>
      <c r="M744" s="11">
        <v>652</v>
      </c>
      <c r="N744" s="11">
        <v>585</v>
      </c>
      <c r="O744" s="11">
        <v>724</v>
      </c>
      <c r="P744" s="11">
        <v>650</v>
      </c>
      <c r="Q744" s="11">
        <v>634</v>
      </c>
      <c r="R744" s="11">
        <v>555</v>
      </c>
      <c r="S744" s="11">
        <v>723</v>
      </c>
      <c r="T744" s="11">
        <v>636</v>
      </c>
      <c r="U744" s="11">
        <v>595</v>
      </c>
      <c r="W744" s="35" t="s">
        <v>118</v>
      </c>
      <c r="X744" s="45">
        <v>7160</v>
      </c>
    </row>
    <row r="745" spans="1:24" x14ac:dyDescent="0.2">
      <c r="A745" s="6" t="s">
        <v>108</v>
      </c>
      <c r="B745" s="18">
        <v>2388</v>
      </c>
      <c r="C745" s="18">
        <v>2306</v>
      </c>
      <c r="D745" s="18">
        <v>2159</v>
      </c>
      <c r="E745" s="18">
        <v>2106</v>
      </c>
      <c r="F745" s="18">
        <v>1684</v>
      </c>
      <c r="G745" s="18">
        <v>1893</v>
      </c>
      <c r="H745" s="18">
        <v>1771</v>
      </c>
      <c r="I745" s="18">
        <v>1706</v>
      </c>
      <c r="J745" s="18">
        <v>1537</v>
      </c>
      <c r="K745" s="18">
        <v>1457</v>
      </c>
      <c r="L745" s="6">
        <v>651</v>
      </c>
      <c r="M745" s="6">
        <v>608</v>
      </c>
      <c r="N745" s="6">
        <v>540</v>
      </c>
      <c r="O745" s="6">
        <v>669</v>
      </c>
      <c r="P745" s="6">
        <v>606</v>
      </c>
      <c r="Q745" s="6">
        <v>593</v>
      </c>
      <c r="R745" s="6">
        <v>520</v>
      </c>
      <c r="S745" s="6">
        <v>627</v>
      </c>
      <c r="T745" s="6">
        <v>599</v>
      </c>
      <c r="U745" s="6">
        <v>557</v>
      </c>
      <c r="W745" s="33" t="s">
        <v>119</v>
      </c>
      <c r="X745" s="33">
        <v>41</v>
      </c>
    </row>
    <row r="746" spans="1:24" x14ac:dyDescent="0.2">
      <c r="A746" s="2" t="s">
        <v>40</v>
      </c>
      <c r="B746" s="2">
        <v>225</v>
      </c>
      <c r="C746" s="2">
        <v>200</v>
      </c>
      <c r="D746" s="2">
        <v>196</v>
      </c>
      <c r="E746" s="2">
        <v>210</v>
      </c>
      <c r="F746" s="2">
        <v>195</v>
      </c>
      <c r="G746" s="2">
        <v>166</v>
      </c>
      <c r="H746" s="2">
        <v>183</v>
      </c>
      <c r="I746" s="2">
        <v>253</v>
      </c>
      <c r="J746" s="2">
        <v>310</v>
      </c>
      <c r="K746" s="2">
        <v>317</v>
      </c>
      <c r="L746" s="2">
        <v>50</v>
      </c>
      <c r="M746" s="2">
        <v>44</v>
      </c>
      <c r="N746" s="2">
        <v>45</v>
      </c>
      <c r="O746" s="2">
        <v>55</v>
      </c>
      <c r="P746" s="2">
        <v>44</v>
      </c>
      <c r="Q746" s="2">
        <v>41</v>
      </c>
      <c r="R746" s="2">
        <v>35</v>
      </c>
      <c r="S746" s="2">
        <v>96</v>
      </c>
      <c r="T746" s="2">
        <v>37</v>
      </c>
      <c r="U746" s="2">
        <v>38</v>
      </c>
      <c r="W746" s="35" t="s">
        <v>121</v>
      </c>
      <c r="X746" s="45">
        <v>11456</v>
      </c>
    </row>
    <row r="747" spans="1:24" x14ac:dyDescent="0.2">
      <c r="A747" s="6" t="s">
        <v>111</v>
      </c>
      <c r="B747" s="6" t="s">
        <v>1</v>
      </c>
      <c r="C747" s="6" t="s">
        <v>1</v>
      </c>
      <c r="D747" s="6" t="s">
        <v>1</v>
      </c>
      <c r="E747" s="6" t="s">
        <v>1</v>
      </c>
      <c r="F747" s="6" t="s">
        <v>1</v>
      </c>
      <c r="G747" s="6" t="s">
        <v>1</v>
      </c>
      <c r="H747" s="6" t="s">
        <v>1</v>
      </c>
      <c r="I747" s="6" t="s">
        <v>1</v>
      </c>
      <c r="J747" s="6" t="s">
        <v>1</v>
      </c>
      <c r="K747" s="6" t="s">
        <v>1</v>
      </c>
      <c r="L747" s="6" t="s">
        <v>1</v>
      </c>
      <c r="M747" s="6" t="s">
        <v>1</v>
      </c>
      <c r="N747" s="6" t="s">
        <v>1</v>
      </c>
      <c r="O747" s="6" t="s">
        <v>1</v>
      </c>
      <c r="P747" s="6" t="s">
        <v>1</v>
      </c>
      <c r="Q747" s="6" t="s">
        <v>1</v>
      </c>
      <c r="R747" s="6" t="s">
        <v>1</v>
      </c>
      <c r="S747" s="6" t="s">
        <v>1</v>
      </c>
      <c r="T747" s="6" t="s">
        <v>1</v>
      </c>
      <c r="U747" s="6" t="s">
        <v>1</v>
      </c>
      <c r="W747" s="33" t="s">
        <v>122</v>
      </c>
      <c r="X747" s="44">
        <v>11761</v>
      </c>
    </row>
    <row r="748" spans="1:24" x14ac:dyDescent="0.2">
      <c r="A748" s="2" t="s">
        <v>113</v>
      </c>
      <c r="B748" s="2">
        <v>135</v>
      </c>
      <c r="C748" s="2">
        <v>130</v>
      </c>
      <c r="D748" s="2">
        <v>133</v>
      </c>
      <c r="E748" s="2">
        <v>145</v>
      </c>
      <c r="F748" s="2">
        <v>137</v>
      </c>
      <c r="G748" s="2">
        <v>115</v>
      </c>
      <c r="H748" s="2">
        <v>151</v>
      </c>
      <c r="I748" s="2">
        <v>214</v>
      </c>
      <c r="J748" s="2">
        <v>234</v>
      </c>
      <c r="K748" s="2">
        <v>255</v>
      </c>
      <c r="L748" s="15" t="s">
        <v>59</v>
      </c>
      <c r="M748" s="15" t="s">
        <v>59</v>
      </c>
      <c r="N748" s="15" t="s">
        <v>59</v>
      </c>
      <c r="O748" s="15" t="s">
        <v>59</v>
      </c>
      <c r="P748" s="15" t="s">
        <v>59</v>
      </c>
      <c r="Q748" s="15" t="s">
        <v>59</v>
      </c>
      <c r="R748" s="15" t="s">
        <v>59</v>
      </c>
      <c r="S748" s="15" t="s">
        <v>59</v>
      </c>
      <c r="T748" s="15" t="s">
        <v>59</v>
      </c>
      <c r="U748" s="15" t="s">
        <v>59</v>
      </c>
      <c r="W748" s="35" t="s">
        <v>169</v>
      </c>
      <c r="X748" s="35">
        <v>716</v>
      </c>
    </row>
    <row r="749" spans="1:24" x14ac:dyDescent="0.2">
      <c r="A749" s="6" t="s">
        <v>115</v>
      </c>
      <c r="B749" s="6">
        <v>49</v>
      </c>
      <c r="C749" s="6">
        <v>83</v>
      </c>
      <c r="D749" s="6">
        <v>79</v>
      </c>
      <c r="E749" s="6">
        <v>59.13</v>
      </c>
      <c r="F749" s="6">
        <v>81.760000000000005</v>
      </c>
      <c r="G749" s="6">
        <v>51.83</v>
      </c>
      <c r="H749" s="6">
        <v>50</v>
      </c>
      <c r="I749" s="6">
        <v>65</v>
      </c>
      <c r="J749" s="6">
        <v>54</v>
      </c>
      <c r="K749" s="6">
        <v>31</v>
      </c>
      <c r="L749" s="6">
        <v>15.01</v>
      </c>
      <c r="M749" s="6">
        <v>13.43</v>
      </c>
      <c r="N749" s="6">
        <v>26</v>
      </c>
      <c r="O749" s="6">
        <v>3.16</v>
      </c>
      <c r="P749" s="6">
        <v>11.85</v>
      </c>
      <c r="Q749" s="6">
        <v>14.22</v>
      </c>
      <c r="R749" s="6">
        <v>25.28</v>
      </c>
      <c r="S749" s="6">
        <v>11.06</v>
      </c>
      <c r="T749" s="6">
        <v>24</v>
      </c>
      <c r="U749" s="6">
        <v>18.170000000000002</v>
      </c>
      <c r="W749" s="33" t="s">
        <v>124</v>
      </c>
      <c r="X749" s="33">
        <v>795</v>
      </c>
    </row>
    <row r="750" spans="1:24" x14ac:dyDescent="0.2">
      <c r="A750" s="2" t="s">
        <v>351</v>
      </c>
      <c r="B750" s="9">
        <v>-6</v>
      </c>
      <c r="C750" s="9">
        <v>-5</v>
      </c>
      <c r="D750" s="2">
        <v>9</v>
      </c>
      <c r="E750" s="2">
        <v>13</v>
      </c>
      <c r="F750" s="2">
        <v>14</v>
      </c>
      <c r="G750" s="15" t="s">
        <v>59</v>
      </c>
      <c r="H750" s="9">
        <v>-1</v>
      </c>
      <c r="I750" s="15" t="s">
        <v>59</v>
      </c>
      <c r="J750" s="15" t="s">
        <v>59</v>
      </c>
      <c r="K750" s="15" t="s">
        <v>59</v>
      </c>
      <c r="L750" s="9">
        <v>-2</v>
      </c>
      <c r="M750" s="2">
        <v>3</v>
      </c>
      <c r="N750" s="2">
        <v>3</v>
      </c>
      <c r="O750" s="9">
        <v>-4</v>
      </c>
      <c r="P750" s="2">
        <v>3</v>
      </c>
      <c r="Q750" s="2">
        <v>0</v>
      </c>
      <c r="R750" s="9">
        <v>-5</v>
      </c>
      <c r="S750" s="2">
        <v>3</v>
      </c>
      <c r="T750" s="9">
        <v>-4</v>
      </c>
      <c r="U750" s="9">
        <v>-1</v>
      </c>
      <c r="W750" s="35" t="s">
        <v>126</v>
      </c>
      <c r="X750" s="45">
        <v>11244</v>
      </c>
    </row>
    <row r="751" spans="1:24" x14ac:dyDescent="0.2">
      <c r="A751" s="6" t="s">
        <v>117</v>
      </c>
      <c r="B751" s="6">
        <v>21.79</v>
      </c>
      <c r="C751" s="6">
        <v>12.16</v>
      </c>
      <c r="D751" s="6">
        <v>20.28</v>
      </c>
      <c r="E751" s="6">
        <v>5.91</v>
      </c>
      <c r="F751" s="6">
        <v>11.37</v>
      </c>
      <c r="G751" s="6">
        <v>5.75</v>
      </c>
      <c r="H751" s="6">
        <v>16.149999999999999</v>
      </c>
      <c r="I751" s="6">
        <v>41.07</v>
      </c>
      <c r="J751" s="6">
        <v>24.31</v>
      </c>
      <c r="K751" s="6">
        <v>25.77</v>
      </c>
      <c r="L751" s="6">
        <v>26.62</v>
      </c>
      <c r="M751" s="6">
        <v>25.05</v>
      </c>
      <c r="N751" s="6">
        <v>41.03</v>
      </c>
      <c r="O751" s="6">
        <v>19.89</v>
      </c>
      <c r="P751" s="6">
        <v>23.9</v>
      </c>
      <c r="Q751" s="6">
        <v>24.64</v>
      </c>
      <c r="R751" s="6">
        <v>18.02</v>
      </c>
      <c r="S751" s="6">
        <v>0.22</v>
      </c>
      <c r="T751" s="6">
        <v>17.62</v>
      </c>
      <c r="U751" s="6">
        <v>12.55</v>
      </c>
      <c r="W751" s="33" t="s">
        <v>128</v>
      </c>
      <c r="X751" s="33">
        <v>421</v>
      </c>
    </row>
    <row r="752" spans="1:24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W752" s="35" t="s">
        <v>294</v>
      </c>
      <c r="X752" s="35">
        <v>0</v>
      </c>
    </row>
    <row r="753" spans="1:24" x14ac:dyDescent="0.2">
      <c r="A753" s="6" t="s">
        <v>120</v>
      </c>
      <c r="B753" s="6" t="s">
        <v>1</v>
      </c>
      <c r="C753" s="6" t="s">
        <v>1</v>
      </c>
      <c r="D753" s="6" t="s">
        <v>1</v>
      </c>
      <c r="E753" s="6" t="s">
        <v>1</v>
      </c>
      <c r="F753" s="6" t="s">
        <v>1</v>
      </c>
      <c r="G753" s="6" t="s">
        <v>1</v>
      </c>
      <c r="H753" s="6" t="s">
        <v>1</v>
      </c>
      <c r="I753" s="6" t="s">
        <v>1</v>
      </c>
      <c r="J753" s="6" t="s">
        <v>1</v>
      </c>
      <c r="K753" s="6" t="s">
        <v>1</v>
      </c>
      <c r="L753" s="6" t="s">
        <v>1</v>
      </c>
      <c r="M753" s="6" t="s">
        <v>1</v>
      </c>
      <c r="N753" s="6" t="s">
        <v>1</v>
      </c>
      <c r="O753" s="6" t="s">
        <v>1</v>
      </c>
      <c r="P753" s="6" t="s">
        <v>1</v>
      </c>
      <c r="Q753" s="6" t="s">
        <v>1</v>
      </c>
      <c r="R753" s="6" t="s">
        <v>1</v>
      </c>
      <c r="S753" s="6" t="s">
        <v>1</v>
      </c>
      <c r="T753" s="6" t="s">
        <v>1</v>
      </c>
      <c r="U753" s="6" t="s">
        <v>1</v>
      </c>
      <c r="W753" s="33" t="s">
        <v>130</v>
      </c>
      <c r="X753" s="51">
        <v>-7649</v>
      </c>
    </row>
    <row r="754" spans="1:24" x14ac:dyDescent="0.2">
      <c r="A754" s="2" t="s">
        <v>120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W754" s="35" t="s">
        <v>132</v>
      </c>
      <c r="X754" s="39" t="s">
        <v>59</v>
      </c>
    </row>
    <row r="755" spans="1:24" x14ac:dyDescent="0.2">
      <c r="A755" s="7" t="s">
        <v>123</v>
      </c>
      <c r="B755" s="7" t="s">
        <v>1</v>
      </c>
      <c r="C755" s="7" t="s">
        <v>1</v>
      </c>
      <c r="D755" s="7" t="s">
        <v>1</v>
      </c>
      <c r="E755" s="7" t="s">
        <v>1</v>
      </c>
      <c r="F755" s="7" t="s">
        <v>1</v>
      </c>
      <c r="G755" s="7" t="s">
        <v>1</v>
      </c>
      <c r="H755" s="7" t="s">
        <v>1</v>
      </c>
      <c r="I755" s="7" t="s">
        <v>1</v>
      </c>
      <c r="J755" s="7" t="s">
        <v>1</v>
      </c>
      <c r="K755" s="7" t="s">
        <v>1</v>
      </c>
      <c r="L755" s="7" t="s">
        <v>1</v>
      </c>
      <c r="M755" s="7" t="s">
        <v>1</v>
      </c>
      <c r="N755" s="7" t="s">
        <v>1</v>
      </c>
      <c r="O755" s="7" t="s">
        <v>1</v>
      </c>
      <c r="P755" s="7" t="s">
        <v>1</v>
      </c>
      <c r="Q755" s="7" t="s">
        <v>1</v>
      </c>
      <c r="R755" s="7" t="s">
        <v>1</v>
      </c>
      <c r="S755" s="7" t="s">
        <v>1</v>
      </c>
      <c r="T755" s="7" t="s">
        <v>1</v>
      </c>
      <c r="U755" s="7" t="s">
        <v>1</v>
      </c>
      <c r="W755" s="33"/>
      <c r="X755" s="33"/>
    </row>
    <row r="756" spans="1:24" x14ac:dyDescent="0.2">
      <c r="A756" s="11" t="s">
        <v>125</v>
      </c>
      <c r="B756" s="11">
        <v>862</v>
      </c>
      <c r="C756" s="11">
        <v>689</v>
      </c>
      <c r="D756" s="11">
        <v>587</v>
      </c>
      <c r="E756" s="11">
        <v>736</v>
      </c>
      <c r="F756" s="11">
        <v>988</v>
      </c>
      <c r="G756" s="11">
        <v>743</v>
      </c>
      <c r="H756" s="11">
        <v>443</v>
      </c>
      <c r="I756" s="12">
        <v>1723</v>
      </c>
      <c r="J756" s="11">
        <v>862</v>
      </c>
      <c r="K756" s="11">
        <v>416</v>
      </c>
      <c r="L756" s="12">
        <v>1177</v>
      </c>
      <c r="M756" s="11">
        <v>796</v>
      </c>
      <c r="N756" s="11">
        <v>748</v>
      </c>
      <c r="O756" s="11">
        <v>862</v>
      </c>
      <c r="P756" s="11">
        <v>683</v>
      </c>
      <c r="Q756" s="11">
        <v>703</v>
      </c>
      <c r="R756" s="11">
        <v>843</v>
      </c>
      <c r="S756" s="11">
        <v>689</v>
      </c>
      <c r="T756" s="11">
        <v>841</v>
      </c>
      <c r="U756" s="11">
        <v>625</v>
      </c>
      <c r="W756" s="33" t="s">
        <v>135</v>
      </c>
      <c r="X756" s="33"/>
    </row>
    <row r="757" spans="1:24" x14ac:dyDescent="0.2">
      <c r="A757" s="6" t="s">
        <v>127</v>
      </c>
      <c r="B757" s="6">
        <v>771</v>
      </c>
      <c r="C757" s="6">
        <v>689</v>
      </c>
      <c r="D757" s="6">
        <v>587</v>
      </c>
      <c r="E757" s="6">
        <v>736</v>
      </c>
      <c r="F757" s="6">
        <v>988</v>
      </c>
      <c r="G757" s="6">
        <v>743</v>
      </c>
      <c r="H757" s="6">
        <v>443</v>
      </c>
      <c r="I757" s="18">
        <v>1723</v>
      </c>
      <c r="J757" s="6">
        <v>862</v>
      </c>
      <c r="K757" s="6">
        <v>416</v>
      </c>
      <c r="L757" s="18">
        <v>1177</v>
      </c>
      <c r="M757" s="6">
        <v>796</v>
      </c>
      <c r="N757" s="6">
        <v>748</v>
      </c>
      <c r="O757" s="6">
        <v>771</v>
      </c>
      <c r="P757" s="6">
        <v>592</v>
      </c>
      <c r="Q757" s="6">
        <v>587</v>
      </c>
      <c r="R757" s="6">
        <v>843</v>
      </c>
      <c r="S757" s="6">
        <v>689</v>
      </c>
      <c r="T757" s="6">
        <v>841</v>
      </c>
      <c r="U757" s="6">
        <v>625</v>
      </c>
      <c r="W757" s="34" t="s">
        <v>1</v>
      </c>
      <c r="X757" s="34" t="s">
        <v>7</v>
      </c>
    </row>
    <row r="758" spans="1:24" x14ac:dyDescent="0.2">
      <c r="A758" s="2" t="s">
        <v>129</v>
      </c>
      <c r="B758" s="2">
        <v>91</v>
      </c>
      <c r="C758" s="2">
        <v>0</v>
      </c>
      <c r="D758" s="2">
        <v>0</v>
      </c>
      <c r="E758" s="2">
        <v>0</v>
      </c>
      <c r="F758" s="2">
        <v>0</v>
      </c>
      <c r="G758" s="2">
        <v>0</v>
      </c>
      <c r="H758" s="2">
        <v>0</v>
      </c>
      <c r="I758" s="2">
        <v>0</v>
      </c>
      <c r="J758" s="2">
        <v>0</v>
      </c>
      <c r="K758" s="15" t="s">
        <v>59</v>
      </c>
      <c r="L758" s="2">
        <v>0</v>
      </c>
      <c r="M758" s="2">
        <v>0</v>
      </c>
      <c r="N758" s="2">
        <v>0</v>
      </c>
      <c r="O758" s="2">
        <v>91</v>
      </c>
      <c r="P758" s="2">
        <v>91</v>
      </c>
      <c r="Q758" s="2">
        <v>116</v>
      </c>
      <c r="R758" s="2">
        <v>0</v>
      </c>
      <c r="S758" s="2">
        <v>0</v>
      </c>
      <c r="T758" s="2">
        <v>0</v>
      </c>
      <c r="U758" s="2">
        <v>0</v>
      </c>
      <c r="W758" s="35" t="s">
        <v>138</v>
      </c>
      <c r="X758" s="35">
        <v>398</v>
      </c>
    </row>
    <row r="759" spans="1:24" x14ac:dyDescent="0.2">
      <c r="A759" s="7" t="s">
        <v>131</v>
      </c>
      <c r="B759" s="7">
        <v>830</v>
      </c>
      <c r="C759" s="7">
        <v>757</v>
      </c>
      <c r="D759" s="7">
        <v>680</v>
      </c>
      <c r="E759" s="7">
        <v>646</v>
      </c>
      <c r="F759" s="7">
        <v>569</v>
      </c>
      <c r="G759" s="7">
        <v>623</v>
      </c>
      <c r="H759" s="7">
        <v>597</v>
      </c>
      <c r="I759" s="7">
        <v>575</v>
      </c>
      <c r="J759" s="7">
        <v>414</v>
      </c>
      <c r="K759" s="7">
        <v>363</v>
      </c>
      <c r="L759" s="7">
        <v>852</v>
      </c>
      <c r="M759" s="7">
        <v>813</v>
      </c>
      <c r="N759" s="7">
        <v>761</v>
      </c>
      <c r="O759" s="7">
        <v>830</v>
      </c>
      <c r="P759" s="7">
        <v>763</v>
      </c>
      <c r="Q759" s="7">
        <v>733</v>
      </c>
      <c r="R759" s="7">
        <v>686</v>
      </c>
      <c r="S759" s="7">
        <v>757</v>
      </c>
      <c r="T759" s="7">
        <v>647</v>
      </c>
      <c r="U759" s="7">
        <v>656</v>
      </c>
      <c r="W759" s="33" t="s">
        <v>141</v>
      </c>
      <c r="X759" s="44">
        <v>1597</v>
      </c>
    </row>
    <row r="760" spans="1:24" x14ac:dyDescent="0.2">
      <c r="A760" s="11" t="s">
        <v>133</v>
      </c>
      <c r="B760" s="11">
        <v>775</v>
      </c>
      <c r="C760" s="11">
        <v>737</v>
      </c>
      <c r="D760" s="11">
        <v>648</v>
      </c>
      <c r="E760" s="11">
        <v>596</v>
      </c>
      <c r="F760" s="11">
        <v>534</v>
      </c>
      <c r="G760" s="11">
        <v>584</v>
      </c>
      <c r="H760" s="11">
        <v>561</v>
      </c>
      <c r="I760" s="11">
        <v>400</v>
      </c>
      <c r="J760" s="11">
        <v>370</v>
      </c>
      <c r="K760" s="11">
        <v>324</v>
      </c>
      <c r="L760" s="11">
        <v>744</v>
      </c>
      <c r="M760" s="11">
        <v>756</v>
      </c>
      <c r="N760" s="11">
        <v>712</v>
      </c>
      <c r="O760" s="11">
        <v>775</v>
      </c>
      <c r="P760" s="11">
        <v>708</v>
      </c>
      <c r="Q760" s="11">
        <v>713</v>
      </c>
      <c r="R760" s="11">
        <v>686</v>
      </c>
      <c r="S760" s="11">
        <v>737</v>
      </c>
      <c r="T760" s="11">
        <v>647</v>
      </c>
      <c r="U760" s="11">
        <v>656</v>
      </c>
      <c r="W760" s="35" t="s">
        <v>143</v>
      </c>
      <c r="X760" s="45">
        <v>1908</v>
      </c>
    </row>
    <row r="761" spans="1:24" x14ac:dyDescent="0.2">
      <c r="A761" s="6" t="s">
        <v>134</v>
      </c>
      <c r="B761" s="6">
        <v>849</v>
      </c>
      <c r="C761" s="6">
        <v>776</v>
      </c>
      <c r="D761" s="6">
        <v>685</v>
      </c>
      <c r="E761" s="6">
        <v>632</v>
      </c>
      <c r="F761" s="6">
        <v>579</v>
      </c>
      <c r="G761" s="6">
        <v>656</v>
      </c>
      <c r="H761" s="6">
        <v>592</v>
      </c>
      <c r="I761" s="6">
        <v>419</v>
      </c>
      <c r="J761" s="6">
        <v>384</v>
      </c>
      <c r="K761" s="6">
        <v>338</v>
      </c>
      <c r="L761" s="6">
        <v>818</v>
      </c>
      <c r="M761" s="6">
        <v>808</v>
      </c>
      <c r="N761" s="6">
        <v>786</v>
      </c>
      <c r="O761" s="6">
        <v>849</v>
      </c>
      <c r="P761" s="6">
        <v>762</v>
      </c>
      <c r="Q761" s="6">
        <v>762</v>
      </c>
      <c r="R761" s="6">
        <v>741</v>
      </c>
      <c r="S761" s="6">
        <v>776</v>
      </c>
      <c r="T761" s="6">
        <v>692</v>
      </c>
      <c r="U761" s="6">
        <v>702</v>
      </c>
      <c r="W761" s="33" t="s">
        <v>145</v>
      </c>
      <c r="X761" s="40">
        <v>-950</v>
      </c>
    </row>
    <row r="762" spans="1:24" x14ac:dyDescent="0.2">
      <c r="A762" s="2" t="s">
        <v>136</v>
      </c>
      <c r="B762" s="9">
        <v>-74</v>
      </c>
      <c r="C762" s="9">
        <v>-39</v>
      </c>
      <c r="D762" s="9">
        <v>-37</v>
      </c>
      <c r="E762" s="9">
        <v>-36</v>
      </c>
      <c r="F762" s="9">
        <v>-45</v>
      </c>
      <c r="G762" s="9">
        <v>-72</v>
      </c>
      <c r="H762" s="9">
        <v>-31</v>
      </c>
      <c r="I762" s="9">
        <v>-19</v>
      </c>
      <c r="J762" s="9">
        <v>-14</v>
      </c>
      <c r="K762" s="9">
        <v>-14</v>
      </c>
      <c r="L762" s="9">
        <v>-74</v>
      </c>
      <c r="M762" s="9">
        <v>-52</v>
      </c>
      <c r="N762" s="9">
        <v>-74</v>
      </c>
      <c r="O762" s="9">
        <v>-74</v>
      </c>
      <c r="P762" s="9">
        <v>-54</v>
      </c>
      <c r="Q762" s="9">
        <v>-49</v>
      </c>
      <c r="R762" s="9">
        <v>-55</v>
      </c>
      <c r="S762" s="9">
        <v>-39</v>
      </c>
      <c r="T762" s="9">
        <v>-45</v>
      </c>
      <c r="U762" s="9">
        <v>-46</v>
      </c>
      <c r="W762" s="42" t="s">
        <v>147</v>
      </c>
      <c r="X762" s="43">
        <v>-1092</v>
      </c>
    </row>
    <row r="763" spans="1:24" x14ac:dyDescent="0.2">
      <c r="A763" s="6" t="s">
        <v>137</v>
      </c>
      <c r="B763" s="6">
        <v>55</v>
      </c>
      <c r="C763" s="6">
        <v>20</v>
      </c>
      <c r="D763" s="6">
        <v>32</v>
      </c>
      <c r="E763" s="6">
        <v>50</v>
      </c>
      <c r="F763" s="6">
        <v>35</v>
      </c>
      <c r="G763" s="6">
        <v>39</v>
      </c>
      <c r="H763" s="6">
        <v>36</v>
      </c>
      <c r="I763" s="6">
        <v>175</v>
      </c>
      <c r="J763" s="6">
        <v>44</v>
      </c>
      <c r="K763" s="6">
        <v>39</v>
      </c>
      <c r="L763" s="6">
        <v>108</v>
      </c>
      <c r="M763" s="6">
        <v>57</v>
      </c>
      <c r="N763" s="6">
        <v>49</v>
      </c>
      <c r="O763" s="6">
        <v>55</v>
      </c>
      <c r="P763" s="6">
        <v>55</v>
      </c>
      <c r="Q763" s="6">
        <v>20</v>
      </c>
      <c r="R763" s="6">
        <v>0</v>
      </c>
      <c r="S763" s="6">
        <v>20</v>
      </c>
      <c r="T763" s="6">
        <v>0</v>
      </c>
      <c r="U763" s="6">
        <v>0</v>
      </c>
      <c r="W763" s="33" t="s">
        <v>149</v>
      </c>
      <c r="X763" s="33">
        <v>250</v>
      </c>
    </row>
    <row r="764" spans="1:24" x14ac:dyDescent="0.2">
      <c r="A764" s="11" t="s">
        <v>112</v>
      </c>
      <c r="B764" s="11">
        <v>0</v>
      </c>
      <c r="C764" s="11">
        <v>0</v>
      </c>
      <c r="D764" s="11">
        <v>0</v>
      </c>
      <c r="E764" s="11">
        <v>0</v>
      </c>
      <c r="F764" s="11">
        <v>0</v>
      </c>
      <c r="G764" s="11">
        <v>0</v>
      </c>
      <c r="H764" s="11">
        <v>0</v>
      </c>
      <c r="I764" s="11">
        <v>13</v>
      </c>
      <c r="J764" s="11">
        <v>37</v>
      </c>
      <c r="K764" s="11">
        <v>40</v>
      </c>
      <c r="L764" s="11">
        <v>0</v>
      </c>
      <c r="M764" s="11">
        <v>0</v>
      </c>
      <c r="N764" s="11">
        <v>0</v>
      </c>
      <c r="O764" s="11">
        <v>0</v>
      </c>
      <c r="P764" s="11">
        <v>0</v>
      </c>
      <c r="Q764" s="11">
        <v>0</v>
      </c>
      <c r="R764" s="11">
        <v>0</v>
      </c>
      <c r="S764" s="11">
        <v>0</v>
      </c>
      <c r="T764" s="11">
        <v>0</v>
      </c>
      <c r="U764" s="11">
        <v>0</v>
      </c>
      <c r="W764" s="33"/>
      <c r="X764" s="33"/>
    </row>
    <row r="765" spans="1:24" x14ac:dyDescent="0.2">
      <c r="A765" s="6" t="s">
        <v>352</v>
      </c>
      <c r="B765" s="6">
        <v>0</v>
      </c>
      <c r="C765" s="6">
        <v>0</v>
      </c>
      <c r="D765" s="6">
        <v>0</v>
      </c>
      <c r="E765" s="6">
        <v>0</v>
      </c>
      <c r="F765" s="6">
        <v>0</v>
      </c>
      <c r="G765" s="6">
        <v>0</v>
      </c>
      <c r="H765" s="6">
        <v>0</v>
      </c>
      <c r="I765" s="6">
        <v>13</v>
      </c>
      <c r="J765" s="6">
        <v>37</v>
      </c>
      <c r="K765" s="6">
        <v>40</v>
      </c>
      <c r="L765" s="6">
        <v>0</v>
      </c>
      <c r="M765" s="6">
        <v>0</v>
      </c>
      <c r="N765" s="6">
        <v>0</v>
      </c>
      <c r="O765" s="6">
        <v>0</v>
      </c>
      <c r="P765" s="6">
        <v>0</v>
      </c>
      <c r="Q765" s="6">
        <v>0</v>
      </c>
      <c r="R765" s="6">
        <v>0</v>
      </c>
      <c r="S765" s="6">
        <v>0</v>
      </c>
      <c r="T765" s="6">
        <v>0</v>
      </c>
      <c r="U765" s="6">
        <v>0</v>
      </c>
      <c r="W765" s="33" t="s">
        <v>93</v>
      </c>
      <c r="X765" s="33"/>
    </row>
    <row r="766" spans="1:24" x14ac:dyDescent="0.2">
      <c r="A766" s="11" t="s">
        <v>142</v>
      </c>
      <c r="B766" s="11">
        <v>179</v>
      </c>
      <c r="C766" s="11">
        <v>163</v>
      </c>
      <c r="D766" s="11">
        <v>342</v>
      </c>
      <c r="E766" s="11">
        <v>150</v>
      </c>
      <c r="F766" s="11">
        <v>132</v>
      </c>
      <c r="G766" s="11">
        <v>161</v>
      </c>
      <c r="H766" s="11">
        <v>167</v>
      </c>
      <c r="I766" s="11">
        <v>196</v>
      </c>
      <c r="J766" s="11">
        <v>192</v>
      </c>
      <c r="K766" s="11">
        <v>868</v>
      </c>
      <c r="L766" s="11">
        <v>175</v>
      </c>
      <c r="M766" s="11">
        <v>217</v>
      </c>
      <c r="N766" s="11">
        <v>218</v>
      </c>
      <c r="O766" s="11">
        <v>179</v>
      </c>
      <c r="P766" s="11">
        <v>179</v>
      </c>
      <c r="Q766" s="11">
        <v>199</v>
      </c>
      <c r="R766" s="11">
        <v>245</v>
      </c>
      <c r="S766" s="11">
        <v>163</v>
      </c>
      <c r="T766" s="11">
        <v>217</v>
      </c>
      <c r="U766" s="11">
        <v>234</v>
      </c>
      <c r="W766" s="34" t="s">
        <v>1</v>
      </c>
      <c r="X766" s="34" t="s">
        <v>7</v>
      </c>
    </row>
    <row r="767" spans="1:24" x14ac:dyDescent="0.2">
      <c r="A767" s="6" t="s">
        <v>144</v>
      </c>
      <c r="B767" s="16" t="s">
        <v>59</v>
      </c>
      <c r="C767" s="16" t="s">
        <v>59</v>
      </c>
      <c r="D767" s="16" t="s">
        <v>59</v>
      </c>
      <c r="E767" s="16" t="s">
        <v>59</v>
      </c>
      <c r="F767" s="16" t="s">
        <v>59</v>
      </c>
      <c r="G767" s="16" t="s">
        <v>59</v>
      </c>
      <c r="H767" s="16" t="s">
        <v>59</v>
      </c>
      <c r="I767" s="16" t="s">
        <v>59</v>
      </c>
      <c r="J767" s="16" t="s">
        <v>59</v>
      </c>
      <c r="K767" s="16" t="s">
        <v>59</v>
      </c>
      <c r="L767" s="6">
        <v>105</v>
      </c>
      <c r="M767" s="6">
        <v>148</v>
      </c>
      <c r="N767" s="6">
        <v>155</v>
      </c>
      <c r="O767" s="16" t="s">
        <v>59</v>
      </c>
      <c r="P767" s="16" t="s">
        <v>59</v>
      </c>
      <c r="Q767" s="16" t="s">
        <v>59</v>
      </c>
      <c r="R767" s="16" t="s">
        <v>59</v>
      </c>
      <c r="S767" s="16" t="s">
        <v>59</v>
      </c>
      <c r="T767" s="16" t="s">
        <v>59</v>
      </c>
      <c r="U767" s="16" t="s">
        <v>59</v>
      </c>
      <c r="W767" s="35" t="s">
        <v>10</v>
      </c>
      <c r="X767" s="35">
        <v>6.08</v>
      </c>
    </row>
    <row r="768" spans="1:24" x14ac:dyDescent="0.2">
      <c r="A768" s="2" t="s">
        <v>146</v>
      </c>
      <c r="B768" s="2">
        <v>179</v>
      </c>
      <c r="C768" s="2">
        <v>163</v>
      </c>
      <c r="D768" s="2">
        <v>342</v>
      </c>
      <c r="E768" s="2">
        <v>150</v>
      </c>
      <c r="F768" s="2">
        <v>132</v>
      </c>
      <c r="G768" s="2">
        <v>161</v>
      </c>
      <c r="H768" s="2">
        <v>167</v>
      </c>
      <c r="I768" s="2">
        <v>196</v>
      </c>
      <c r="J768" s="2">
        <v>192</v>
      </c>
      <c r="K768" s="2">
        <v>868</v>
      </c>
      <c r="L768" s="2">
        <v>70</v>
      </c>
      <c r="M768" s="2">
        <v>69</v>
      </c>
      <c r="N768" s="2">
        <v>63</v>
      </c>
      <c r="O768" s="2">
        <v>179</v>
      </c>
      <c r="P768" s="2">
        <v>179</v>
      </c>
      <c r="Q768" s="2">
        <v>199</v>
      </c>
      <c r="R768" s="2">
        <v>245</v>
      </c>
      <c r="S768" s="2">
        <v>163</v>
      </c>
      <c r="T768" s="2">
        <v>217</v>
      </c>
      <c r="U768" s="2">
        <v>234</v>
      </c>
      <c r="W768" s="33" t="s">
        <v>29</v>
      </c>
      <c r="X768" s="33">
        <v>5.46</v>
      </c>
    </row>
    <row r="769" spans="1:24" x14ac:dyDescent="0.2">
      <c r="A769" s="7" t="s">
        <v>148</v>
      </c>
      <c r="B769" s="8">
        <v>1871</v>
      </c>
      <c r="C769" s="8">
        <v>1609</v>
      </c>
      <c r="D769" s="8">
        <v>1609</v>
      </c>
      <c r="E769" s="8">
        <v>1532</v>
      </c>
      <c r="F769" s="8">
        <v>1689</v>
      </c>
      <c r="G769" s="8">
        <v>1527</v>
      </c>
      <c r="H769" s="8">
        <v>1207</v>
      </c>
      <c r="I769" s="8">
        <v>2507</v>
      </c>
      <c r="J769" s="8">
        <v>1505</v>
      </c>
      <c r="K769" s="8">
        <v>1687</v>
      </c>
      <c r="L769" s="8">
        <v>2204</v>
      </c>
      <c r="M769" s="8">
        <v>1826</v>
      </c>
      <c r="N769" s="8">
        <v>1727</v>
      </c>
      <c r="O769" s="8">
        <v>1871</v>
      </c>
      <c r="P769" s="8">
        <v>1625</v>
      </c>
      <c r="Q769" s="8">
        <v>1635</v>
      </c>
      <c r="R769" s="8">
        <v>1774</v>
      </c>
      <c r="S769" s="8">
        <v>1609</v>
      </c>
      <c r="T769" s="8">
        <v>1705</v>
      </c>
      <c r="U769" s="8">
        <v>1515</v>
      </c>
      <c r="W769" s="35" t="s">
        <v>31</v>
      </c>
      <c r="X769" s="35">
        <v>6.08</v>
      </c>
    </row>
    <row r="770" spans="1:24" x14ac:dyDescent="0.2">
      <c r="A770" s="2" t="s">
        <v>35</v>
      </c>
      <c r="B770" s="2">
        <v>16.28</v>
      </c>
      <c r="C770" s="2">
        <v>0</v>
      </c>
      <c r="D770" s="2">
        <v>5.03</v>
      </c>
      <c r="E770" s="9">
        <v>-9.3000000000000007</v>
      </c>
      <c r="F770" s="2">
        <v>10.61</v>
      </c>
      <c r="G770" s="2">
        <v>26.51</v>
      </c>
      <c r="H770" s="9">
        <v>-51.85</v>
      </c>
      <c r="I770" s="2">
        <v>66.58</v>
      </c>
      <c r="J770" s="9">
        <v>-10.79</v>
      </c>
      <c r="K770" s="2">
        <v>2.4900000000000002</v>
      </c>
      <c r="L770" s="2">
        <v>35.630000000000003</v>
      </c>
      <c r="M770" s="2">
        <v>11.68</v>
      </c>
      <c r="N770" s="9">
        <v>-2.65</v>
      </c>
      <c r="O770" s="2">
        <v>16.28</v>
      </c>
      <c r="P770" s="9">
        <v>-4.6900000000000004</v>
      </c>
      <c r="Q770" s="2">
        <v>7.92</v>
      </c>
      <c r="R770" s="2">
        <v>14.75</v>
      </c>
      <c r="S770" s="2">
        <v>0</v>
      </c>
      <c r="T770" s="2">
        <v>6.9</v>
      </c>
      <c r="U770" s="2">
        <v>6.02</v>
      </c>
      <c r="W770" s="33" t="s">
        <v>156</v>
      </c>
      <c r="X770" s="33">
        <v>2.85</v>
      </c>
    </row>
    <row r="771" spans="1:24" x14ac:dyDescent="0.2">
      <c r="A771" s="6" t="s">
        <v>150</v>
      </c>
      <c r="B771" s="6">
        <v>27.81</v>
      </c>
      <c r="C771" s="6">
        <v>25.82</v>
      </c>
      <c r="D771" s="6">
        <v>27.52</v>
      </c>
      <c r="E771" s="6">
        <v>25.68</v>
      </c>
      <c r="F771" s="6">
        <v>28.86</v>
      </c>
      <c r="G771" s="6">
        <v>29.19</v>
      </c>
      <c r="H771" s="6">
        <v>29.23</v>
      </c>
      <c r="I771" s="6">
        <v>47.2</v>
      </c>
      <c r="J771" s="6">
        <v>27.6</v>
      </c>
      <c r="K771" s="6">
        <v>20.93</v>
      </c>
      <c r="L771" s="6">
        <v>30.64</v>
      </c>
      <c r="M771" s="6">
        <v>26.4</v>
      </c>
      <c r="N771" s="6">
        <v>25.93</v>
      </c>
      <c r="O771" s="6">
        <v>27.81</v>
      </c>
      <c r="P771" s="6">
        <v>25.15</v>
      </c>
      <c r="Q771" s="6">
        <v>25.57</v>
      </c>
      <c r="R771" s="6">
        <v>28.5</v>
      </c>
      <c r="S771" s="6">
        <v>25.82</v>
      </c>
      <c r="T771" s="6">
        <v>28.08</v>
      </c>
      <c r="U771" s="6">
        <v>25.91</v>
      </c>
      <c r="W771" s="35" t="s">
        <v>158</v>
      </c>
      <c r="X771" s="35">
        <v>5.85</v>
      </c>
    </row>
    <row r="772" spans="1:24" x14ac:dyDescent="0.2">
      <c r="A772" s="11" t="s">
        <v>151</v>
      </c>
      <c r="B772" s="12">
        <v>2185</v>
      </c>
      <c r="C772" s="12">
        <v>1961</v>
      </c>
      <c r="D772" s="12">
        <v>1913</v>
      </c>
      <c r="E772" s="12">
        <v>2016</v>
      </c>
      <c r="F772" s="12">
        <v>2086</v>
      </c>
      <c r="G772" s="12">
        <v>1812</v>
      </c>
      <c r="H772" s="12">
        <v>1237</v>
      </c>
      <c r="I772" s="12">
        <v>1697</v>
      </c>
      <c r="J772" s="12">
        <v>2113</v>
      </c>
      <c r="K772" s="12">
        <v>2347</v>
      </c>
      <c r="L772" s="12">
        <v>2377</v>
      </c>
      <c r="M772" s="12">
        <v>2329</v>
      </c>
      <c r="N772" s="12">
        <v>2227</v>
      </c>
      <c r="O772" s="12">
        <v>2185</v>
      </c>
      <c r="P772" s="12">
        <v>2190</v>
      </c>
      <c r="Q772" s="12">
        <v>2137</v>
      </c>
      <c r="R772" s="12">
        <v>1945</v>
      </c>
      <c r="S772" s="12">
        <v>1961</v>
      </c>
      <c r="T772" s="12">
        <v>1920</v>
      </c>
      <c r="U772" s="12">
        <v>1915</v>
      </c>
      <c r="W772" s="33" t="s">
        <v>160</v>
      </c>
      <c r="X772" s="33">
        <v>7.19</v>
      </c>
    </row>
    <row r="773" spans="1:24" x14ac:dyDescent="0.2">
      <c r="A773" s="7" t="s">
        <v>152</v>
      </c>
      <c r="B773" s="8">
        <v>3569</v>
      </c>
      <c r="C773" s="8">
        <v>3293</v>
      </c>
      <c r="D773" s="8">
        <v>3196</v>
      </c>
      <c r="E773" s="8">
        <v>3286</v>
      </c>
      <c r="F773" s="8">
        <v>3316</v>
      </c>
      <c r="G773" s="8">
        <v>2948</v>
      </c>
      <c r="H773" s="8">
        <v>2353</v>
      </c>
      <c r="I773" s="8">
        <v>3177</v>
      </c>
      <c r="J773" s="8">
        <v>4108</v>
      </c>
      <c r="K773" s="8">
        <v>4395</v>
      </c>
      <c r="L773" s="8">
        <v>3864</v>
      </c>
      <c r="M773" s="8">
        <v>3785</v>
      </c>
      <c r="N773" s="8">
        <v>3646</v>
      </c>
      <c r="O773" s="8">
        <v>3569</v>
      </c>
      <c r="P773" s="8">
        <v>3584</v>
      </c>
      <c r="Q773" s="8">
        <v>3498</v>
      </c>
      <c r="R773" s="8">
        <v>3291</v>
      </c>
      <c r="S773" s="8">
        <v>3293</v>
      </c>
      <c r="T773" s="8">
        <v>3225</v>
      </c>
      <c r="U773" s="8">
        <v>3219</v>
      </c>
      <c r="W773" s="35" t="s">
        <v>162</v>
      </c>
      <c r="X773" s="36">
        <v>-27.49</v>
      </c>
    </row>
    <row r="774" spans="1:24" x14ac:dyDescent="0.2">
      <c r="A774" s="2" t="s">
        <v>153</v>
      </c>
      <c r="B774" s="10">
        <v>1512</v>
      </c>
      <c r="C774" s="10">
        <v>1421</v>
      </c>
      <c r="D774" s="10">
        <v>1364</v>
      </c>
      <c r="E774" s="10">
        <v>1403</v>
      </c>
      <c r="F774" s="10">
        <v>1423</v>
      </c>
      <c r="G774" s="10">
        <v>1325</v>
      </c>
      <c r="H774" s="10">
        <v>1349</v>
      </c>
      <c r="I774" s="10">
        <v>1661</v>
      </c>
      <c r="J774" s="10">
        <v>2149</v>
      </c>
      <c r="K774" s="10">
        <v>2232</v>
      </c>
      <c r="L774" s="15" t="s">
        <v>59</v>
      </c>
      <c r="M774" s="15" t="s">
        <v>59</v>
      </c>
      <c r="N774" s="15" t="s">
        <v>59</v>
      </c>
      <c r="O774" s="10">
        <v>1512</v>
      </c>
      <c r="P774" s="15" t="s">
        <v>59</v>
      </c>
      <c r="Q774" s="15" t="s">
        <v>59</v>
      </c>
      <c r="R774" s="15" t="s">
        <v>59</v>
      </c>
      <c r="S774" s="10">
        <v>1421</v>
      </c>
      <c r="T774" s="15" t="s">
        <v>59</v>
      </c>
      <c r="U774" s="15" t="s">
        <v>59</v>
      </c>
      <c r="W774" s="33"/>
      <c r="X774" s="33"/>
    </row>
    <row r="775" spans="1:24" x14ac:dyDescent="0.2">
      <c r="A775" s="6" t="s">
        <v>154</v>
      </c>
      <c r="B775" s="6">
        <v>383</v>
      </c>
      <c r="C775" s="6">
        <v>373</v>
      </c>
      <c r="D775" s="6">
        <v>376</v>
      </c>
      <c r="E775" s="6">
        <v>412</v>
      </c>
      <c r="F775" s="6">
        <v>428</v>
      </c>
      <c r="G775" s="6">
        <v>408</v>
      </c>
      <c r="H775" s="6">
        <v>422</v>
      </c>
      <c r="I775" s="6">
        <v>452</v>
      </c>
      <c r="J775" s="6">
        <v>438</v>
      </c>
      <c r="K775" s="6">
        <v>480</v>
      </c>
      <c r="L775" s="16" t="s">
        <v>59</v>
      </c>
      <c r="M775" s="16" t="s">
        <v>59</v>
      </c>
      <c r="N775" s="16" t="s">
        <v>59</v>
      </c>
      <c r="O775" s="6">
        <v>383</v>
      </c>
      <c r="P775" s="16" t="s">
        <v>59</v>
      </c>
      <c r="Q775" s="16" t="s">
        <v>59</v>
      </c>
      <c r="R775" s="16" t="s">
        <v>59</v>
      </c>
      <c r="S775" s="6">
        <v>373</v>
      </c>
      <c r="T775" s="16" t="s">
        <v>59</v>
      </c>
      <c r="U775" s="16" t="s">
        <v>59</v>
      </c>
      <c r="W775" s="33" t="s">
        <v>167</v>
      </c>
      <c r="X775" s="33"/>
    </row>
    <row r="776" spans="1:24" x14ac:dyDescent="0.2">
      <c r="A776" s="2" t="s">
        <v>155</v>
      </c>
      <c r="B776" s="2">
        <v>714</v>
      </c>
      <c r="C776" s="2">
        <v>676</v>
      </c>
      <c r="D776" s="2">
        <v>651</v>
      </c>
      <c r="E776" s="2">
        <v>595</v>
      </c>
      <c r="F776" s="2">
        <v>543</v>
      </c>
      <c r="G776" s="2">
        <v>505</v>
      </c>
      <c r="H776" s="2">
        <v>523</v>
      </c>
      <c r="I776" s="2">
        <v>941</v>
      </c>
      <c r="J776" s="10">
        <v>1380</v>
      </c>
      <c r="K776" s="10">
        <v>1515</v>
      </c>
      <c r="L776" s="15" t="s">
        <v>59</v>
      </c>
      <c r="M776" s="15" t="s">
        <v>59</v>
      </c>
      <c r="N776" s="15" t="s">
        <v>59</v>
      </c>
      <c r="O776" s="2">
        <v>714</v>
      </c>
      <c r="P776" s="15" t="s">
        <v>59</v>
      </c>
      <c r="Q776" s="15" t="s">
        <v>59</v>
      </c>
      <c r="R776" s="15" t="s">
        <v>59</v>
      </c>
      <c r="S776" s="2">
        <v>676</v>
      </c>
      <c r="T776" s="15" t="s">
        <v>59</v>
      </c>
      <c r="U776" s="15" t="s">
        <v>59</v>
      </c>
      <c r="W776" s="34" t="s">
        <v>1</v>
      </c>
      <c r="X776" s="34" t="s">
        <v>7</v>
      </c>
    </row>
    <row r="777" spans="1:24" x14ac:dyDescent="0.2">
      <c r="A777" s="6" t="s">
        <v>295</v>
      </c>
      <c r="B777" s="6">
        <v>79</v>
      </c>
      <c r="C777" s="6">
        <v>59</v>
      </c>
      <c r="D777" s="6">
        <v>63</v>
      </c>
      <c r="E777" s="6">
        <v>67</v>
      </c>
      <c r="F777" s="6">
        <v>71</v>
      </c>
      <c r="G777" s="6">
        <v>68</v>
      </c>
      <c r="H777" s="6">
        <v>59</v>
      </c>
      <c r="I777" s="6">
        <v>123</v>
      </c>
      <c r="J777" s="6">
        <v>141</v>
      </c>
      <c r="K777" s="6">
        <v>168</v>
      </c>
      <c r="L777" s="16" t="s">
        <v>59</v>
      </c>
      <c r="M777" s="16" t="s">
        <v>59</v>
      </c>
      <c r="N777" s="16" t="s">
        <v>59</v>
      </c>
      <c r="O777" s="6">
        <v>79</v>
      </c>
      <c r="P777" s="16" t="s">
        <v>59</v>
      </c>
      <c r="Q777" s="16" t="s">
        <v>59</v>
      </c>
      <c r="R777" s="16" t="s">
        <v>59</v>
      </c>
      <c r="S777" s="6">
        <v>59</v>
      </c>
      <c r="T777" s="16" t="s">
        <v>59</v>
      </c>
      <c r="U777" s="16" t="s">
        <v>59</v>
      </c>
      <c r="W777" s="35" t="s">
        <v>170</v>
      </c>
      <c r="X777" s="35">
        <v>25.2</v>
      </c>
    </row>
    <row r="778" spans="1:24" x14ac:dyDescent="0.2">
      <c r="A778" s="2" t="s">
        <v>161</v>
      </c>
      <c r="B778" s="2">
        <v>881</v>
      </c>
      <c r="C778" s="2">
        <v>764</v>
      </c>
      <c r="D778" s="2">
        <v>742</v>
      </c>
      <c r="E778" s="2">
        <v>809</v>
      </c>
      <c r="F778" s="2">
        <v>851</v>
      </c>
      <c r="G778" s="2">
        <v>642</v>
      </c>
      <c r="H778" s="15" t="s">
        <v>59</v>
      </c>
      <c r="I778" s="15" t="s">
        <v>59</v>
      </c>
      <c r="J778" s="15" t="s">
        <v>59</v>
      </c>
      <c r="K778" s="15" t="s">
        <v>59</v>
      </c>
      <c r="L778" s="2">
        <v>955</v>
      </c>
      <c r="M778" s="2">
        <v>946</v>
      </c>
      <c r="N778" s="2">
        <v>889</v>
      </c>
      <c r="O778" s="2">
        <v>881</v>
      </c>
      <c r="P778" s="2">
        <v>890</v>
      </c>
      <c r="Q778" s="2">
        <v>865</v>
      </c>
      <c r="R778" s="2">
        <v>755</v>
      </c>
      <c r="S778" s="2">
        <v>764</v>
      </c>
      <c r="T778" s="2">
        <v>763</v>
      </c>
      <c r="U778" s="2">
        <v>753</v>
      </c>
      <c r="W778" s="33" t="s">
        <v>172</v>
      </c>
      <c r="X778" s="40">
        <v>-1.4</v>
      </c>
    </row>
    <row r="779" spans="1:24" x14ac:dyDescent="0.2">
      <c r="A779" s="6" t="s">
        <v>163</v>
      </c>
      <c r="B779" s="18">
        <v>1384</v>
      </c>
      <c r="C779" s="18">
        <v>1332</v>
      </c>
      <c r="D779" s="18">
        <v>1283</v>
      </c>
      <c r="E779" s="18">
        <v>1270</v>
      </c>
      <c r="F779" s="18">
        <v>1230</v>
      </c>
      <c r="G779" s="18">
        <v>1136</v>
      </c>
      <c r="H779" s="18">
        <v>1116</v>
      </c>
      <c r="I779" s="18">
        <v>1480</v>
      </c>
      <c r="J779" s="18">
        <v>1995</v>
      </c>
      <c r="K779" s="18">
        <v>2048</v>
      </c>
      <c r="L779" s="18">
        <v>1487</v>
      </c>
      <c r="M779" s="18">
        <v>1456</v>
      </c>
      <c r="N779" s="18">
        <v>1419</v>
      </c>
      <c r="O779" s="18">
        <v>1384</v>
      </c>
      <c r="P779" s="18">
        <v>1394</v>
      </c>
      <c r="Q779" s="18">
        <v>1361</v>
      </c>
      <c r="R779" s="18">
        <v>1346</v>
      </c>
      <c r="S779" s="18">
        <v>1332</v>
      </c>
      <c r="T779" s="18">
        <v>1305</v>
      </c>
      <c r="U779" s="18">
        <v>1304</v>
      </c>
      <c r="W779" s="35" t="s">
        <v>174</v>
      </c>
      <c r="X779" s="35">
        <v>3.5</v>
      </c>
    </row>
    <row r="780" spans="1:24" x14ac:dyDescent="0.2">
      <c r="A780" s="11" t="s">
        <v>165</v>
      </c>
      <c r="B780" s="11">
        <v>44</v>
      </c>
      <c r="C780" s="11">
        <v>293</v>
      </c>
      <c r="D780" s="11">
        <v>274</v>
      </c>
      <c r="E780" s="11">
        <v>277</v>
      </c>
      <c r="F780" s="11">
        <v>75</v>
      </c>
      <c r="G780" s="11">
        <v>137</v>
      </c>
      <c r="H780" s="11">
        <v>214</v>
      </c>
      <c r="I780" s="11">
        <v>38</v>
      </c>
      <c r="J780" s="11">
        <v>29</v>
      </c>
      <c r="K780" s="11">
        <v>16</v>
      </c>
      <c r="L780" s="11">
        <v>30</v>
      </c>
      <c r="M780" s="11">
        <v>25</v>
      </c>
      <c r="N780" s="11">
        <v>42</v>
      </c>
      <c r="O780" s="11">
        <v>44</v>
      </c>
      <c r="P780" s="11">
        <v>44</v>
      </c>
      <c r="Q780" s="11">
        <v>44</v>
      </c>
      <c r="R780" s="11">
        <v>43</v>
      </c>
      <c r="S780" s="11">
        <v>293</v>
      </c>
      <c r="T780" s="11">
        <v>329</v>
      </c>
      <c r="U780" s="11">
        <v>285</v>
      </c>
      <c r="W780" s="33" t="s">
        <v>176</v>
      </c>
      <c r="X780" s="33">
        <v>197</v>
      </c>
    </row>
    <row r="781" spans="1:24" x14ac:dyDescent="0.2">
      <c r="A781" s="6" t="s">
        <v>166</v>
      </c>
      <c r="B781" s="6">
        <v>0</v>
      </c>
      <c r="C781" s="6">
        <v>124</v>
      </c>
      <c r="D781" s="6">
        <v>116</v>
      </c>
      <c r="E781" s="6">
        <v>118</v>
      </c>
      <c r="F781" s="6">
        <v>0</v>
      </c>
      <c r="G781" s="6">
        <v>137</v>
      </c>
      <c r="H781" s="6">
        <v>214</v>
      </c>
      <c r="I781" s="6">
        <v>0</v>
      </c>
      <c r="J781" s="6">
        <v>0</v>
      </c>
      <c r="K781" s="6">
        <v>0</v>
      </c>
      <c r="L781" s="6">
        <v>0</v>
      </c>
      <c r="M781" s="6">
        <v>0</v>
      </c>
      <c r="N781" s="6">
        <v>0</v>
      </c>
      <c r="O781" s="6">
        <v>0</v>
      </c>
      <c r="P781" s="6">
        <v>0</v>
      </c>
      <c r="Q781" s="6">
        <v>0</v>
      </c>
      <c r="R781" s="6">
        <v>0</v>
      </c>
      <c r="S781" s="6">
        <v>124</v>
      </c>
      <c r="T781" s="6">
        <v>137</v>
      </c>
      <c r="U781" s="6">
        <v>122</v>
      </c>
      <c r="W781" s="35" t="s">
        <v>178</v>
      </c>
      <c r="X781" s="35">
        <v>197</v>
      </c>
    </row>
    <row r="782" spans="1:24" x14ac:dyDescent="0.2">
      <c r="A782" s="2" t="s">
        <v>168</v>
      </c>
      <c r="B782" s="2">
        <v>44</v>
      </c>
      <c r="C782" s="2">
        <v>169</v>
      </c>
      <c r="D782" s="2">
        <v>158</v>
      </c>
      <c r="E782" s="2">
        <v>159</v>
      </c>
      <c r="F782" s="2">
        <v>75</v>
      </c>
      <c r="G782" s="2">
        <v>0</v>
      </c>
      <c r="H782" s="2">
        <v>0</v>
      </c>
      <c r="I782" s="2">
        <v>0</v>
      </c>
      <c r="J782" s="2">
        <v>0</v>
      </c>
      <c r="K782" s="2">
        <v>0</v>
      </c>
      <c r="L782" s="2">
        <v>30</v>
      </c>
      <c r="M782" s="2">
        <v>25</v>
      </c>
      <c r="N782" s="2">
        <v>42</v>
      </c>
      <c r="O782" s="2">
        <v>44</v>
      </c>
      <c r="P782" s="2">
        <v>44</v>
      </c>
      <c r="Q782" s="2">
        <v>44</v>
      </c>
      <c r="R782" s="2">
        <v>43</v>
      </c>
      <c r="S782" s="2">
        <v>169</v>
      </c>
      <c r="T782" s="2">
        <v>192</v>
      </c>
      <c r="U782" s="2">
        <v>163</v>
      </c>
      <c r="W782" s="33" t="s">
        <v>179</v>
      </c>
      <c r="X782" s="33">
        <v>0.1</v>
      </c>
    </row>
    <row r="783" spans="1:24" x14ac:dyDescent="0.2">
      <c r="A783" s="6" t="s">
        <v>353</v>
      </c>
      <c r="B783" s="16" t="s">
        <v>59</v>
      </c>
      <c r="C783" s="16" t="s">
        <v>59</v>
      </c>
      <c r="D783" s="16" t="s">
        <v>59</v>
      </c>
      <c r="E783" s="16" t="s">
        <v>59</v>
      </c>
      <c r="F783" s="16" t="s">
        <v>59</v>
      </c>
      <c r="G783" s="16" t="s">
        <v>59</v>
      </c>
      <c r="H783" s="16" t="s">
        <v>59</v>
      </c>
      <c r="I783" s="6">
        <v>38</v>
      </c>
      <c r="J783" s="6">
        <v>29</v>
      </c>
      <c r="K783" s="6">
        <v>16</v>
      </c>
      <c r="L783" s="16" t="s">
        <v>59</v>
      </c>
      <c r="M783" s="16" t="s">
        <v>59</v>
      </c>
      <c r="N783" s="16" t="s">
        <v>59</v>
      </c>
      <c r="O783" s="16" t="s">
        <v>59</v>
      </c>
      <c r="P783" s="16" t="s">
        <v>59</v>
      </c>
      <c r="Q783" s="16" t="s">
        <v>59</v>
      </c>
      <c r="R783" s="16" t="s">
        <v>59</v>
      </c>
      <c r="S783" s="16" t="s">
        <v>59</v>
      </c>
      <c r="T783" s="16" t="s">
        <v>59</v>
      </c>
      <c r="U783" s="16" t="s">
        <v>59</v>
      </c>
      <c r="W783" s="35" t="s">
        <v>182</v>
      </c>
      <c r="X783" s="35">
        <v>21.3</v>
      </c>
    </row>
    <row r="784" spans="1:24" x14ac:dyDescent="0.2">
      <c r="A784" s="11" t="s">
        <v>169</v>
      </c>
      <c r="B784" s="12">
        <v>1152</v>
      </c>
      <c r="C784" s="12">
        <v>1019</v>
      </c>
      <c r="D784" s="11">
        <v>992</v>
      </c>
      <c r="E784" s="12">
        <v>1016</v>
      </c>
      <c r="F784" s="11">
        <v>940</v>
      </c>
      <c r="G784" s="11">
        <v>774</v>
      </c>
      <c r="H784" s="11">
        <v>767</v>
      </c>
      <c r="I784" s="11">
        <v>622</v>
      </c>
      <c r="J784" s="11">
        <v>687</v>
      </c>
      <c r="K784" s="11">
        <v>735</v>
      </c>
      <c r="L784" s="12">
        <v>1241</v>
      </c>
      <c r="M784" s="12">
        <v>1246</v>
      </c>
      <c r="N784" s="12">
        <v>1164</v>
      </c>
      <c r="O784" s="12">
        <v>1152</v>
      </c>
      <c r="P784" s="12">
        <v>1151</v>
      </c>
      <c r="Q784" s="12">
        <v>1135</v>
      </c>
      <c r="R784" s="12">
        <v>1011</v>
      </c>
      <c r="S784" s="12">
        <v>1019</v>
      </c>
      <c r="T784" s="12">
        <v>1007</v>
      </c>
      <c r="U784" s="12">
        <v>1010</v>
      </c>
      <c r="W784" s="33" t="s">
        <v>184</v>
      </c>
      <c r="X784" s="33">
        <v>26.2</v>
      </c>
    </row>
    <row r="785" spans="1:24" x14ac:dyDescent="0.2">
      <c r="A785" s="6" t="s">
        <v>171</v>
      </c>
      <c r="B785" s="6">
        <v>736</v>
      </c>
      <c r="C785" s="6">
        <v>642</v>
      </c>
      <c r="D785" s="6">
        <v>638</v>
      </c>
      <c r="E785" s="6">
        <v>657</v>
      </c>
      <c r="F785" s="6">
        <v>597</v>
      </c>
      <c r="G785" s="6">
        <v>530</v>
      </c>
      <c r="H785" s="6">
        <v>525</v>
      </c>
      <c r="I785" s="6">
        <v>512</v>
      </c>
      <c r="J785" s="6">
        <v>536</v>
      </c>
      <c r="K785" s="6">
        <v>571</v>
      </c>
      <c r="L785" s="6">
        <v>779</v>
      </c>
      <c r="M785" s="6">
        <v>792</v>
      </c>
      <c r="N785" s="6">
        <v>746</v>
      </c>
      <c r="O785" s="6">
        <v>736</v>
      </c>
      <c r="P785" s="6">
        <v>735</v>
      </c>
      <c r="Q785" s="6">
        <v>718</v>
      </c>
      <c r="R785" s="6">
        <v>641</v>
      </c>
      <c r="S785" s="6">
        <v>642</v>
      </c>
      <c r="T785" s="6">
        <v>638</v>
      </c>
      <c r="U785" s="6">
        <v>641</v>
      </c>
      <c r="W785" s="35" t="s">
        <v>186</v>
      </c>
      <c r="X785" s="35">
        <v>5.2</v>
      </c>
    </row>
    <row r="786" spans="1:24" x14ac:dyDescent="0.2">
      <c r="A786" s="2" t="s">
        <v>297</v>
      </c>
      <c r="B786" s="2">
        <v>416</v>
      </c>
      <c r="C786" s="2">
        <v>377</v>
      </c>
      <c r="D786" s="2">
        <v>354</v>
      </c>
      <c r="E786" s="2">
        <v>359</v>
      </c>
      <c r="F786" s="2">
        <v>343</v>
      </c>
      <c r="G786" s="2">
        <v>244</v>
      </c>
      <c r="H786" s="2">
        <v>242</v>
      </c>
      <c r="I786" s="2">
        <v>110</v>
      </c>
      <c r="J786" s="2">
        <v>151</v>
      </c>
      <c r="K786" s="2">
        <v>164</v>
      </c>
      <c r="L786" s="2">
        <v>462</v>
      </c>
      <c r="M786" s="2">
        <v>454</v>
      </c>
      <c r="N786" s="2">
        <v>418</v>
      </c>
      <c r="O786" s="2">
        <v>416</v>
      </c>
      <c r="P786" s="2">
        <v>416</v>
      </c>
      <c r="Q786" s="2">
        <v>417</v>
      </c>
      <c r="R786" s="2">
        <v>370</v>
      </c>
      <c r="S786" s="2">
        <v>377</v>
      </c>
      <c r="T786" s="2">
        <v>369</v>
      </c>
      <c r="U786" s="2">
        <v>369</v>
      </c>
      <c r="W786" s="33" t="s">
        <v>187</v>
      </c>
      <c r="X786" s="33">
        <v>6.7</v>
      </c>
    </row>
    <row r="787" spans="1:24" x14ac:dyDescent="0.2">
      <c r="A787" s="6" t="s">
        <v>173</v>
      </c>
      <c r="B787" s="18">
        <v>1071</v>
      </c>
      <c r="C787" s="18">
        <v>1045</v>
      </c>
      <c r="D787" s="6">
        <v>750</v>
      </c>
      <c r="E787" s="6">
        <v>724</v>
      </c>
      <c r="F787" s="6">
        <v>553</v>
      </c>
      <c r="G787" s="6">
        <v>447</v>
      </c>
      <c r="H787" s="6">
        <v>195</v>
      </c>
      <c r="I787" s="6">
        <v>139</v>
      </c>
      <c r="J787" s="6">
        <v>772</v>
      </c>
      <c r="K787" s="6">
        <v>591</v>
      </c>
      <c r="L787" s="6">
        <v>898</v>
      </c>
      <c r="M787" s="18">
        <v>1061</v>
      </c>
      <c r="N787" s="18">
        <v>1065</v>
      </c>
      <c r="O787" s="18">
        <v>1071</v>
      </c>
      <c r="P787" s="18">
        <v>1033</v>
      </c>
      <c r="Q787" s="18">
        <v>1018</v>
      </c>
      <c r="R787" s="18">
        <v>1021</v>
      </c>
      <c r="S787" s="18">
        <v>1045</v>
      </c>
      <c r="T787" s="6">
        <v>842</v>
      </c>
      <c r="U787" s="6">
        <v>821</v>
      </c>
      <c r="W787" s="35" t="s">
        <v>189</v>
      </c>
      <c r="X787" s="35">
        <v>19</v>
      </c>
    </row>
    <row r="788" spans="1:24" x14ac:dyDescent="0.2">
      <c r="A788" s="11" t="s">
        <v>175</v>
      </c>
      <c r="B788" s="11">
        <v>404</v>
      </c>
      <c r="C788" s="11">
        <v>304</v>
      </c>
      <c r="D788" s="11">
        <v>308</v>
      </c>
      <c r="E788" s="11">
        <v>401</v>
      </c>
      <c r="F788" s="11">
        <v>509</v>
      </c>
      <c r="G788" s="11">
        <v>534</v>
      </c>
      <c r="H788" s="11">
        <v>510</v>
      </c>
      <c r="I788" s="11">
        <v>308</v>
      </c>
      <c r="J788" s="11">
        <v>347</v>
      </c>
      <c r="K788" s="12">
        <v>2685</v>
      </c>
      <c r="L788" s="11">
        <v>443</v>
      </c>
      <c r="M788" s="11">
        <v>430</v>
      </c>
      <c r="N788" s="11">
        <v>434</v>
      </c>
      <c r="O788" s="11">
        <v>404</v>
      </c>
      <c r="P788" s="11">
        <v>418</v>
      </c>
      <c r="Q788" s="11">
        <v>426</v>
      </c>
      <c r="R788" s="11">
        <v>430</v>
      </c>
      <c r="S788" s="11">
        <v>304</v>
      </c>
      <c r="T788" s="11">
        <v>268</v>
      </c>
      <c r="U788" s="11">
        <v>302</v>
      </c>
      <c r="W788" s="33" t="s">
        <v>191</v>
      </c>
      <c r="X788" s="33">
        <v>20.3</v>
      </c>
    </row>
    <row r="789" spans="1:24" x14ac:dyDescent="0.2">
      <c r="A789" s="6" t="s">
        <v>177</v>
      </c>
      <c r="B789" s="6">
        <v>404</v>
      </c>
      <c r="C789" s="6">
        <v>304</v>
      </c>
      <c r="D789" s="6">
        <v>308</v>
      </c>
      <c r="E789" s="6">
        <v>401</v>
      </c>
      <c r="F789" s="6">
        <v>509</v>
      </c>
      <c r="G789" s="6">
        <v>534</v>
      </c>
      <c r="H789" s="6">
        <v>510</v>
      </c>
      <c r="I789" s="6">
        <v>308</v>
      </c>
      <c r="J789" s="6">
        <v>347</v>
      </c>
      <c r="K789" s="18">
        <v>2685</v>
      </c>
      <c r="L789" s="6">
        <v>443</v>
      </c>
      <c r="M789" s="6">
        <v>430</v>
      </c>
      <c r="N789" s="6">
        <v>434</v>
      </c>
      <c r="O789" s="6">
        <v>404</v>
      </c>
      <c r="P789" s="6">
        <v>418</v>
      </c>
      <c r="Q789" s="6">
        <v>426</v>
      </c>
      <c r="R789" s="6">
        <v>430</v>
      </c>
      <c r="S789" s="6">
        <v>304</v>
      </c>
      <c r="T789" s="6">
        <v>268</v>
      </c>
      <c r="U789" s="6">
        <v>302</v>
      </c>
      <c r="W789" s="35" t="s">
        <v>193</v>
      </c>
      <c r="X789" s="35">
        <v>34</v>
      </c>
    </row>
    <row r="790" spans="1:24" x14ac:dyDescent="0.2">
      <c r="A790" s="11" t="s">
        <v>118</v>
      </c>
      <c r="B790" s="12">
        <v>6727</v>
      </c>
      <c r="C790" s="12">
        <v>6231</v>
      </c>
      <c r="D790" s="12">
        <v>5846</v>
      </c>
      <c r="E790" s="12">
        <v>5966</v>
      </c>
      <c r="F790" s="12">
        <v>5852</v>
      </c>
      <c r="G790" s="12">
        <v>5231</v>
      </c>
      <c r="H790" s="12">
        <v>4130</v>
      </c>
      <c r="I790" s="12">
        <v>5311</v>
      </c>
      <c r="J790" s="12">
        <v>5453</v>
      </c>
      <c r="K790" s="12">
        <v>8061</v>
      </c>
      <c r="L790" s="12">
        <v>7193</v>
      </c>
      <c r="M790" s="12">
        <v>6917</v>
      </c>
      <c r="N790" s="12">
        <v>6659</v>
      </c>
      <c r="O790" s="12">
        <v>6727</v>
      </c>
      <c r="P790" s="12">
        <v>6461</v>
      </c>
      <c r="Q790" s="12">
        <v>6395</v>
      </c>
      <c r="R790" s="12">
        <v>6224</v>
      </c>
      <c r="S790" s="12">
        <v>6231</v>
      </c>
      <c r="T790" s="12">
        <v>6071</v>
      </c>
      <c r="U790" s="12">
        <v>5848</v>
      </c>
      <c r="W790" s="33" t="s">
        <v>195</v>
      </c>
      <c r="X790" s="33">
        <v>1.9</v>
      </c>
    </row>
    <row r="791" spans="1:24" x14ac:dyDescent="0.2">
      <c r="A791" s="6" t="s">
        <v>35</v>
      </c>
      <c r="B791" s="6">
        <v>7.96</v>
      </c>
      <c r="C791" s="6">
        <v>6.59</v>
      </c>
      <c r="D791" s="13">
        <v>-2.0099999999999998</v>
      </c>
      <c r="E791" s="6">
        <v>1.95</v>
      </c>
      <c r="F791" s="6">
        <v>11.87</v>
      </c>
      <c r="G791" s="6">
        <v>26.66</v>
      </c>
      <c r="H791" s="13">
        <v>-22.24</v>
      </c>
      <c r="I791" s="13">
        <v>-2.6</v>
      </c>
      <c r="J791" s="13">
        <v>-32.35</v>
      </c>
      <c r="K791" s="13">
        <v>-3.4</v>
      </c>
      <c r="L791" s="6">
        <v>11.33</v>
      </c>
      <c r="M791" s="6">
        <v>8.16</v>
      </c>
      <c r="N791" s="6">
        <v>6.99</v>
      </c>
      <c r="O791" s="6">
        <v>7.96</v>
      </c>
      <c r="P791" s="6">
        <v>6.42</v>
      </c>
      <c r="Q791" s="6">
        <v>9.35</v>
      </c>
      <c r="R791" s="6">
        <v>8.26</v>
      </c>
      <c r="S791" s="6">
        <v>6.59</v>
      </c>
      <c r="T791" s="6">
        <v>5.05</v>
      </c>
      <c r="U791" s="6">
        <v>1</v>
      </c>
      <c r="W791" s="35" t="s">
        <v>197</v>
      </c>
      <c r="X791" s="35">
        <v>29.4</v>
      </c>
    </row>
    <row r="792" spans="1:24" x14ac:dyDescent="0.2">
      <c r="A792" s="11" t="s">
        <v>181</v>
      </c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W792" s="33" t="s">
        <v>198</v>
      </c>
      <c r="X792" s="33">
        <v>23.8</v>
      </c>
    </row>
    <row r="793" spans="1:24" x14ac:dyDescent="0.2">
      <c r="A793" s="7" t="s">
        <v>183</v>
      </c>
      <c r="B793" s="7" t="s">
        <v>1</v>
      </c>
      <c r="C793" s="7" t="s">
        <v>1</v>
      </c>
      <c r="D793" s="7" t="s">
        <v>1</v>
      </c>
      <c r="E793" s="7" t="s">
        <v>1</v>
      </c>
      <c r="F793" s="7" t="s">
        <v>1</v>
      </c>
      <c r="G793" s="7" t="s">
        <v>1</v>
      </c>
      <c r="H793" s="7" t="s">
        <v>1</v>
      </c>
      <c r="I793" s="7" t="s">
        <v>1</v>
      </c>
      <c r="J793" s="7" t="s">
        <v>1</v>
      </c>
      <c r="K793" s="7" t="s">
        <v>1</v>
      </c>
      <c r="L793" s="7" t="s">
        <v>1</v>
      </c>
      <c r="M793" s="7" t="s">
        <v>1</v>
      </c>
      <c r="N793" s="7" t="s">
        <v>1</v>
      </c>
      <c r="O793" s="7" t="s">
        <v>1</v>
      </c>
      <c r="P793" s="7" t="s">
        <v>1</v>
      </c>
      <c r="Q793" s="7" t="s">
        <v>1</v>
      </c>
      <c r="R793" s="7" t="s">
        <v>1</v>
      </c>
      <c r="S793" s="7" t="s">
        <v>1</v>
      </c>
      <c r="T793" s="7" t="s">
        <v>1</v>
      </c>
      <c r="U793" s="7" t="s">
        <v>1</v>
      </c>
      <c r="W793" s="35" t="s">
        <v>202</v>
      </c>
      <c r="X793" s="35">
        <v>0.4</v>
      </c>
    </row>
    <row r="794" spans="1:24" x14ac:dyDescent="0.2">
      <c r="A794" s="2" t="s">
        <v>185</v>
      </c>
      <c r="B794" s="2">
        <v>118</v>
      </c>
      <c r="C794" s="2">
        <v>132</v>
      </c>
      <c r="D794" s="2">
        <v>477</v>
      </c>
      <c r="E794" s="2">
        <v>156</v>
      </c>
      <c r="F794" s="2">
        <v>550</v>
      </c>
      <c r="G794" s="2">
        <v>498</v>
      </c>
      <c r="H794" s="2">
        <v>321</v>
      </c>
      <c r="I794" s="2">
        <v>375</v>
      </c>
      <c r="J794" s="2">
        <v>66</v>
      </c>
      <c r="K794" s="2">
        <v>921</v>
      </c>
      <c r="L794" s="2">
        <v>48</v>
      </c>
      <c r="M794" s="2">
        <v>971</v>
      </c>
      <c r="N794" s="2">
        <v>30</v>
      </c>
      <c r="O794" s="2">
        <v>118</v>
      </c>
      <c r="P794" s="2">
        <v>24</v>
      </c>
      <c r="Q794" s="2">
        <v>24</v>
      </c>
      <c r="R794" s="2">
        <v>58</v>
      </c>
      <c r="S794" s="2">
        <v>132</v>
      </c>
      <c r="T794" s="2">
        <v>373</v>
      </c>
      <c r="U794" s="2">
        <v>374</v>
      </c>
      <c r="W794" s="33" t="s">
        <v>203</v>
      </c>
      <c r="X794" s="40">
        <v>-0.3</v>
      </c>
    </row>
    <row r="795" spans="1:24" x14ac:dyDescent="0.2">
      <c r="A795" s="6" t="s">
        <v>116</v>
      </c>
      <c r="B795" s="6">
        <v>249</v>
      </c>
      <c r="C795" s="6">
        <v>231</v>
      </c>
      <c r="D795" s="6">
        <v>243</v>
      </c>
      <c r="E795" s="6">
        <v>227</v>
      </c>
      <c r="F795" s="6">
        <v>215</v>
      </c>
      <c r="G795" s="6">
        <v>173</v>
      </c>
      <c r="H795" s="6">
        <v>202</v>
      </c>
      <c r="I795" s="6">
        <v>119</v>
      </c>
      <c r="J795" s="6">
        <v>142</v>
      </c>
      <c r="K795" s="6">
        <v>181</v>
      </c>
      <c r="L795" s="18">
        <v>1217</v>
      </c>
      <c r="M795" s="18">
        <v>1223</v>
      </c>
      <c r="N795" s="18">
        <v>1179</v>
      </c>
      <c r="O795" s="6">
        <v>249</v>
      </c>
      <c r="P795" s="18">
        <v>1138</v>
      </c>
      <c r="Q795" s="18">
        <v>1098</v>
      </c>
      <c r="R795" s="18">
        <v>1095</v>
      </c>
      <c r="S795" s="6">
        <v>231</v>
      </c>
      <c r="T795" s="18">
        <v>1117</v>
      </c>
      <c r="U795" s="18">
        <v>1063</v>
      </c>
      <c r="W795" s="35" t="s">
        <v>205</v>
      </c>
      <c r="X795" s="35">
        <v>24.5</v>
      </c>
    </row>
    <row r="796" spans="1:24" x14ac:dyDescent="0.2">
      <c r="A796" s="2" t="s">
        <v>188</v>
      </c>
      <c r="B796" s="2">
        <v>31</v>
      </c>
      <c r="C796" s="2">
        <v>55</v>
      </c>
      <c r="D796" s="2">
        <v>16</v>
      </c>
      <c r="E796" s="2">
        <v>13</v>
      </c>
      <c r="F796" s="2">
        <v>33</v>
      </c>
      <c r="G796" s="2">
        <v>150</v>
      </c>
      <c r="H796" s="2">
        <v>69</v>
      </c>
      <c r="I796" s="2">
        <v>123</v>
      </c>
      <c r="J796" s="2">
        <v>36</v>
      </c>
      <c r="K796" s="2">
        <v>55</v>
      </c>
      <c r="L796" s="2">
        <v>36</v>
      </c>
      <c r="M796" s="2">
        <v>34</v>
      </c>
      <c r="N796" s="2">
        <v>21</v>
      </c>
      <c r="O796" s="2">
        <v>31</v>
      </c>
      <c r="P796" s="2">
        <v>24</v>
      </c>
      <c r="Q796" s="2">
        <v>14</v>
      </c>
      <c r="R796" s="2">
        <v>35</v>
      </c>
      <c r="S796" s="2">
        <v>55</v>
      </c>
      <c r="T796" s="2">
        <v>12</v>
      </c>
      <c r="U796" s="2">
        <v>50</v>
      </c>
      <c r="W796" s="37" t="s">
        <v>209</v>
      </c>
      <c r="X796" s="33"/>
    </row>
    <row r="797" spans="1:24" x14ac:dyDescent="0.2">
      <c r="A797" s="7" t="s">
        <v>190</v>
      </c>
      <c r="B797" s="7">
        <v>871</v>
      </c>
      <c r="C797" s="7">
        <v>859</v>
      </c>
      <c r="D797" s="7">
        <v>929</v>
      </c>
      <c r="E797" s="8">
        <v>1019</v>
      </c>
      <c r="F797" s="7">
        <v>877</v>
      </c>
      <c r="G797" s="7">
        <v>720</v>
      </c>
      <c r="H797" s="7">
        <v>709</v>
      </c>
      <c r="I797" s="7">
        <v>895</v>
      </c>
      <c r="J797" s="8">
        <v>1062</v>
      </c>
      <c r="K797" s="8">
        <v>1930</v>
      </c>
      <c r="L797" s="7">
        <v>0</v>
      </c>
      <c r="M797" s="7">
        <v>0</v>
      </c>
      <c r="N797" s="7">
        <v>0</v>
      </c>
      <c r="O797" s="7">
        <v>871</v>
      </c>
      <c r="P797" s="7">
        <v>0</v>
      </c>
      <c r="Q797" s="7">
        <v>0</v>
      </c>
      <c r="R797" s="7">
        <v>0</v>
      </c>
      <c r="S797" s="7">
        <v>859</v>
      </c>
      <c r="T797" s="7">
        <v>2</v>
      </c>
      <c r="U797" s="7">
        <v>0</v>
      </c>
      <c r="W797" s="37" t="s">
        <v>211</v>
      </c>
      <c r="X797" s="33"/>
    </row>
    <row r="798" spans="1:24" x14ac:dyDescent="0.2">
      <c r="A798" s="2" t="s">
        <v>354</v>
      </c>
      <c r="B798" s="2">
        <v>0</v>
      </c>
      <c r="C798" s="2">
        <v>0</v>
      </c>
      <c r="D798" s="2">
        <v>0</v>
      </c>
      <c r="E798" s="2">
        <v>0</v>
      </c>
      <c r="F798" s="2">
        <v>0</v>
      </c>
      <c r="G798" s="2">
        <v>0</v>
      </c>
      <c r="H798" s="2">
        <v>0</v>
      </c>
      <c r="I798" s="2">
        <v>0</v>
      </c>
      <c r="J798" s="2">
        <v>106</v>
      </c>
      <c r="K798" s="2">
        <v>197</v>
      </c>
      <c r="L798" s="2">
        <v>0</v>
      </c>
      <c r="M798" s="2">
        <v>0</v>
      </c>
      <c r="N798" s="2">
        <v>0</v>
      </c>
      <c r="O798" s="2">
        <v>0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0</v>
      </c>
    </row>
    <row r="799" spans="1:24" x14ac:dyDescent="0.2">
      <c r="A799" s="6" t="s">
        <v>192</v>
      </c>
      <c r="B799" s="6">
        <v>242</v>
      </c>
      <c r="C799" s="6">
        <v>258</v>
      </c>
      <c r="D799" s="6">
        <v>246</v>
      </c>
      <c r="E799" s="6">
        <v>292</v>
      </c>
      <c r="F799" s="6">
        <v>225</v>
      </c>
      <c r="G799" s="6">
        <v>223</v>
      </c>
      <c r="H799" s="6">
        <v>206</v>
      </c>
      <c r="I799" s="6">
        <v>252</v>
      </c>
      <c r="J799" s="6">
        <v>372</v>
      </c>
      <c r="K799" s="6">
        <v>281</v>
      </c>
      <c r="L799" s="16" t="s">
        <v>59</v>
      </c>
      <c r="M799" s="16" t="s">
        <v>59</v>
      </c>
      <c r="N799" s="16" t="s">
        <v>59</v>
      </c>
      <c r="O799" s="6">
        <v>242</v>
      </c>
      <c r="P799" s="16" t="s">
        <v>59</v>
      </c>
      <c r="Q799" s="16" t="s">
        <v>59</v>
      </c>
      <c r="R799" s="16" t="s">
        <v>59</v>
      </c>
      <c r="S799" s="6">
        <v>258</v>
      </c>
      <c r="T799" s="16" t="s">
        <v>59</v>
      </c>
      <c r="U799" s="16" t="s">
        <v>59</v>
      </c>
    </row>
    <row r="800" spans="1:24" x14ac:dyDescent="0.2">
      <c r="A800" s="2" t="s">
        <v>194</v>
      </c>
      <c r="B800" s="2">
        <v>629</v>
      </c>
      <c r="C800" s="2">
        <v>601</v>
      </c>
      <c r="D800" s="2">
        <v>683</v>
      </c>
      <c r="E800" s="2">
        <v>727</v>
      </c>
      <c r="F800" s="2">
        <v>652</v>
      </c>
      <c r="G800" s="2">
        <v>497</v>
      </c>
      <c r="H800" s="2">
        <v>503</v>
      </c>
      <c r="I800" s="2">
        <v>643</v>
      </c>
      <c r="J800" s="2">
        <v>584</v>
      </c>
      <c r="K800" s="10">
        <v>1452</v>
      </c>
      <c r="L800" s="2">
        <v>0</v>
      </c>
      <c r="M800" s="2">
        <v>0</v>
      </c>
      <c r="N800" s="2">
        <v>0</v>
      </c>
      <c r="O800" s="2">
        <v>629</v>
      </c>
      <c r="P800" s="2">
        <v>0</v>
      </c>
      <c r="Q800" s="2">
        <v>0</v>
      </c>
      <c r="R800" s="2">
        <v>0</v>
      </c>
      <c r="S800" s="2">
        <v>601</v>
      </c>
      <c r="T800" s="2">
        <v>2</v>
      </c>
      <c r="U800" s="2">
        <v>0</v>
      </c>
    </row>
    <row r="801" spans="1:21" x14ac:dyDescent="0.2">
      <c r="A801" s="7" t="s">
        <v>196</v>
      </c>
      <c r="B801" s="8">
        <v>1269</v>
      </c>
      <c r="C801" s="8">
        <v>1277</v>
      </c>
      <c r="D801" s="8">
        <v>1665</v>
      </c>
      <c r="E801" s="8">
        <v>1415</v>
      </c>
      <c r="F801" s="8">
        <v>1675</v>
      </c>
      <c r="G801" s="8">
        <v>1541</v>
      </c>
      <c r="H801" s="8">
        <v>1301</v>
      </c>
      <c r="I801" s="8">
        <v>1512</v>
      </c>
      <c r="J801" s="8">
        <v>1306</v>
      </c>
      <c r="K801" s="8">
        <v>3087</v>
      </c>
      <c r="L801" s="8">
        <v>1301</v>
      </c>
      <c r="M801" s="8">
        <v>2228</v>
      </c>
      <c r="N801" s="8">
        <v>1230</v>
      </c>
      <c r="O801" s="8">
        <v>1269</v>
      </c>
      <c r="P801" s="8">
        <v>1186</v>
      </c>
      <c r="Q801" s="8">
        <v>1136</v>
      </c>
      <c r="R801" s="8">
        <v>1188</v>
      </c>
      <c r="S801" s="8">
        <v>1277</v>
      </c>
      <c r="T801" s="8">
        <v>1504</v>
      </c>
      <c r="U801" s="8">
        <v>1487</v>
      </c>
    </row>
    <row r="802" spans="1:21" x14ac:dyDescent="0.2">
      <c r="A802" s="2" t="s">
        <v>35</v>
      </c>
      <c r="B802" s="9">
        <v>-0.63</v>
      </c>
      <c r="C802" s="9">
        <v>-23.3</v>
      </c>
      <c r="D802" s="2">
        <v>17.670000000000002</v>
      </c>
      <c r="E802" s="9">
        <v>-15.52</v>
      </c>
      <c r="F802" s="2">
        <v>8.6999999999999993</v>
      </c>
      <c r="G802" s="2">
        <v>18.45</v>
      </c>
      <c r="H802" s="9">
        <v>-13.96</v>
      </c>
      <c r="I802" s="2">
        <v>15.77</v>
      </c>
      <c r="J802" s="9">
        <v>-57.69</v>
      </c>
      <c r="K802" s="2">
        <v>28.04</v>
      </c>
      <c r="L802" s="2">
        <v>9.6999999999999993</v>
      </c>
      <c r="M802" s="2">
        <v>96.13</v>
      </c>
      <c r="N802" s="2">
        <v>3.54</v>
      </c>
      <c r="O802" s="9">
        <v>-0.63</v>
      </c>
      <c r="P802" s="9">
        <v>-21.14</v>
      </c>
      <c r="Q802" s="9">
        <v>-23.6</v>
      </c>
      <c r="R802" s="9">
        <v>-23.6</v>
      </c>
      <c r="S802" s="9">
        <v>-23.3</v>
      </c>
      <c r="T802" s="2">
        <v>20.9</v>
      </c>
      <c r="U802" s="2">
        <v>25.7</v>
      </c>
    </row>
    <row r="803" spans="1:21" x14ac:dyDescent="0.2">
      <c r="A803" s="6" t="s">
        <v>199</v>
      </c>
      <c r="B803" s="6">
        <v>18.86</v>
      </c>
      <c r="C803" s="6">
        <v>20.49</v>
      </c>
      <c r="D803" s="6">
        <v>28.48</v>
      </c>
      <c r="E803" s="6">
        <v>23.72</v>
      </c>
      <c r="F803" s="6">
        <v>28.62</v>
      </c>
      <c r="G803" s="6">
        <v>29.46</v>
      </c>
      <c r="H803" s="6">
        <v>31.5</v>
      </c>
      <c r="I803" s="6">
        <v>28.47</v>
      </c>
      <c r="J803" s="6">
        <v>23.95</v>
      </c>
      <c r="K803" s="6">
        <v>38.299999999999997</v>
      </c>
      <c r="L803" s="6">
        <v>18.09</v>
      </c>
      <c r="M803" s="6">
        <v>32.21</v>
      </c>
      <c r="N803" s="6">
        <v>18.47</v>
      </c>
      <c r="O803" s="6">
        <v>18.86</v>
      </c>
      <c r="P803" s="6">
        <v>18.36</v>
      </c>
      <c r="Q803" s="6">
        <v>17.760000000000002</v>
      </c>
      <c r="R803" s="6">
        <v>19.09</v>
      </c>
      <c r="S803" s="6">
        <v>20.49</v>
      </c>
      <c r="T803" s="6">
        <v>24.77</v>
      </c>
      <c r="U803" s="6">
        <v>25.43</v>
      </c>
    </row>
    <row r="804" spans="1:21" x14ac:dyDescent="0.2">
      <c r="A804" s="11" t="s">
        <v>201</v>
      </c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</row>
    <row r="805" spans="1:21" x14ac:dyDescent="0.2">
      <c r="A805" s="7" t="s">
        <v>121</v>
      </c>
      <c r="B805" s="20">
        <v>12168</v>
      </c>
      <c r="C805" s="20">
        <v>11899</v>
      </c>
      <c r="D805" s="20">
        <v>12184</v>
      </c>
      <c r="E805" s="20">
        <v>11971</v>
      </c>
      <c r="F805" s="20">
        <v>11095</v>
      </c>
      <c r="G805" s="20">
        <v>10771</v>
      </c>
      <c r="H805" s="20">
        <v>9751</v>
      </c>
      <c r="I805" s="20">
        <v>9429</v>
      </c>
      <c r="J805" s="20">
        <v>9059</v>
      </c>
      <c r="K805" s="20">
        <v>3007</v>
      </c>
      <c r="L805" s="20">
        <v>12432</v>
      </c>
      <c r="M805" s="20">
        <v>11339</v>
      </c>
      <c r="N805" s="20">
        <v>12196</v>
      </c>
      <c r="O805" s="20">
        <v>12168</v>
      </c>
      <c r="P805" s="20">
        <v>12037</v>
      </c>
      <c r="Q805" s="20">
        <v>11988</v>
      </c>
      <c r="R805" s="20">
        <v>11878</v>
      </c>
      <c r="S805" s="20">
        <v>11899</v>
      </c>
      <c r="T805" s="20">
        <v>11904</v>
      </c>
      <c r="U805" s="20">
        <v>11938</v>
      </c>
    </row>
    <row r="806" spans="1:21" x14ac:dyDescent="0.2">
      <c r="A806" s="2" t="s">
        <v>299</v>
      </c>
      <c r="B806" s="21">
        <v>11247</v>
      </c>
      <c r="C806" s="21">
        <v>11100</v>
      </c>
      <c r="D806" s="21">
        <v>11404</v>
      </c>
      <c r="E806" s="21">
        <v>11121</v>
      </c>
      <c r="F806" s="21">
        <v>10207</v>
      </c>
      <c r="G806" s="21">
        <v>10061</v>
      </c>
      <c r="H806" s="21">
        <v>9751</v>
      </c>
      <c r="I806" s="21">
        <v>9429</v>
      </c>
      <c r="J806" s="21">
        <v>9059</v>
      </c>
      <c r="K806" s="21">
        <v>3007</v>
      </c>
      <c r="L806" s="21">
        <v>11435</v>
      </c>
      <c r="M806" s="21">
        <v>10346</v>
      </c>
      <c r="N806" s="21">
        <v>11260</v>
      </c>
      <c r="O806" s="21">
        <v>11247</v>
      </c>
      <c r="P806" s="21">
        <v>11102</v>
      </c>
      <c r="Q806" s="21">
        <v>11072</v>
      </c>
      <c r="R806" s="21">
        <v>11081</v>
      </c>
      <c r="S806" s="21">
        <v>11100</v>
      </c>
      <c r="T806" s="21">
        <v>11102</v>
      </c>
      <c r="U806" s="21">
        <v>11142</v>
      </c>
    </row>
    <row r="807" spans="1:21" x14ac:dyDescent="0.2">
      <c r="A807" s="6" t="s">
        <v>204</v>
      </c>
      <c r="B807" s="6">
        <v>921</v>
      </c>
      <c r="C807" s="6">
        <v>799</v>
      </c>
      <c r="D807" s="6">
        <v>780</v>
      </c>
      <c r="E807" s="6">
        <v>850</v>
      </c>
      <c r="F807" s="6">
        <v>888</v>
      </c>
      <c r="G807" s="6">
        <v>710</v>
      </c>
      <c r="H807" s="6">
        <v>0</v>
      </c>
      <c r="I807" s="6">
        <v>0</v>
      </c>
      <c r="J807" s="6">
        <v>0</v>
      </c>
      <c r="K807" s="6">
        <v>0</v>
      </c>
      <c r="L807" s="6">
        <v>997</v>
      </c>
      <c r="M807" s="6">
        <v>993</v>
      </c>
      <c r="N807" s="6">
        <v>936</v>
      </c>
      <c r="O807" s="6">
        <v>921</v>
      </c>
      <c r="P807" s="6">
        <v>935</v>
      </c>
      <c r="Q807" s="6">
        <v>916</v>
      </c>
      <c r="R807" s="6">
        <v>797</v>
      </c>
      <c r="S807" s="6">
        <v>799</v>
      </c>
      <c r="T807" s="6">
        <v>802</v>
      </c>
      <c r="U807" s="6">
        <v>796</v>
      </c>
    </row>
    <row r="808" spans="1:21" x14ac:dyDescent="0.2">
      <c r="A808" s="2" t="s">
        <v>206</v>
      </c>
      <c r="B808" s="15" t="s">
        <v>59</v>
      </c>
      <c r="C808" s="15" t="s">
        <v>59</v>
      </c>
      <c r="D808" s="15" t="s">
        <v>59</v>
      </c>
      <c r="E808" s="15" t="s">
        <v>59</v>
      </c>
      <c r="F808" s="15" t="s">
        <v>59</v>
      </c>
      <c r="G808" s="15" t="s">
        <v>59</v>
      </c>
      <c r="H808" s="15" t="s">
        <v>59</v>
      </c>
      <c r="I808" s="2">
        <v>6</v>
      </c>
      <c r="J808" s="2">
        <v>7</v>
      </c>
      <c r="K808" s="2">
        <v>8</v>
      </c>
      <c r="L808" s="15" t="s">
        <v>59</v>
      </c>
      <c r="M808" s="15" t="s">
        <v>59</v>
      </c>
      <c r="N808" s="15" t="s">
        <v>59</v>
      </c>
      <c r="O808" s="15" t="s">
        <v>59</v>
      </c>
      <c r="P808" s="15" t="s">
        <v>59</v>
      </c>
      <c r="Q808" s="15" t="s">
        <v>59</v>
      </c>
      <c r="R808" s="15" t="s">
        <v>59</v>
      </c>
      <c r="S808" s="15" t="s">
        <v>59</v>
      </c>
      <c r="T808" s="15" t="s">
        <v>59</v>
      </c>
      <c r="U808" s="15" t="s">
        <v>59</v>
      </c>
    </row>
    <row r="809" spans="1:21" x14ac:dyDescent="0.2">
      <c r="A809" s="7" t="s">
        <v>208</v>
      </c>
      <c r="B809" s="7">
        <v>938</v>
      </c>
      <c r="C809" s="7">
        <v>913</v>
      </c>
      <c r="D809" s="7">
        <v>873</v>
      </c>
      <c r="E809" s="7">
        <v>953</v>
      </c>
      <c r="F809" s="7">
        <v>973</v>
      </c>
      <c r="G809" s="7">
        <v>935</v>
      </c>
      <c r="H809" s="20">
        <v>1004</v>
      </c>
      <c r="I809" s="7">
        <v>698</v>
      </c>
      <c r="J809" s="7">
        <v>696</v>
      </c>
      <c r="K809" s="7">
        <v>984</v>
      </c>
      <c r="L809" s="7">
        <v>965</v>
      </c>
      <c r="M809" s="20">
        <v>1030</v>
      </c>
      <c r="N809" s="20">
        <v>1037</v>
      </c>
      <c r="O809" s="7">
        <v>938</v>
      </c>
      <c r="P809" s="7">
        <v>912</v>
      </c>
      <c r="Q809" s="7">
        <v>901</v>
      </c>
      <c r="R809" s="7">
        <v>914</v>
      </c>
      <c r="S809" s="7">
        <v>913</v>
      </c>
      <c r="T809" s="7">
        <v>853</v>
      </c>
      <c r="U809" s="7">
        <v>859</v>
      </c>
    </row>
    <row r="810" spans="1:21" x14ac:dyDescent="0.2">
      <c r="A810" s="2" t="s">
        <v>210</v>
      </c>
      <c r="B810" s="2">
        <v>938</v>
      </c>
      <c r="C810" s="2">
        <v>913</v>
      </c>
      <c r="D810" s="2">
        <v>873</v>
      </c>
      <c r="E810" s="2">
        <v>953</v>
      </c>
      <c r="F810" s="2">
        <v>973</v>
      </c>
      <c r="G810" s="2">
        <v>935</v>
      </c>
      <c r="H810" s="21">
        <v>1004</v>
      </c>
      <c r="I810" s="2">
        <v>698</v>
      </c>
      <c r="J810" s="2">
        <v>696</v>
      </c>
      <c r="K810" s="2">
        <v>984</v>
      </c>
      <c r="L810" s="2">
        <v>965</v>
      </c>
      <c r="M810" s="21">
        <v>1030</v>
      </c>
      <c r="N810" s="21">
        <v>1037</v>
      </c>
      <c r="O810" s="2">
        <v>938</v>
      </c>
      <c r="P810" s="2">
        <v>912</v>
      </c>
      <c r="Q810" s="2">
        <v>901</v>
      </c>
      <c r="R810" s="2">
        <v>914</v>
      </c>
      <c r="S810" s="2">
        <v>913</v>
      </c>
      <c r="T810" s="2">
        <v>853</v>
      </c>
      <c r="U810" s="2">
        <v>859</v>
      </c>
    </row>
    <row r="811" spans="1:21" x14ac:dyDescent="0.2">
      <c r="A811" s="7" t="s">
        <v>212</v>
      </c>
      <c r="B811" s="20">
        <v>14375</v>
      </c>
      <c r="C811" s="20">
        <v>14089</v>
      </c>
      <c r="D811" s="20">
        <v>14722</v>
      </c>
      <c r="E811" s="20">
        <v>14339</v>
      </c>
      <c r="F811" s="20">
        <v>13743</v>
      </c>
      <c r="G811" s="20">
        <v>13247</v>
      </c>
      <c r="H811" s="20">
        <v>12056</v>
      </c>
      <c r="I811" s="20">
        <v>11645</v>
      </c>
      <c r="J811" s="20">
        <v>11068</v>
      </c>
      <c r="K811" s="20">
        <v>7086</v>
      </c>
      <c r="L811" s="20">
        <v>14698</v>
      </c>
      <c r="M811" s="20">
        <v>14597</v>
      </c>
      <c r="N811" s="20">
        <v>14463</v>
      </c>
      <c r="O811" s="20">
        <v>14375</v>
      </c>
      <c r="P811" s="20">
        <v>14135</v>
      </c>
      <c r="Q811" s="20">
        <v>14025</v>
      </c>
      <c r="R811" s="20">
        <v>13980</v>
      </c>
      <c r="S811" s="20">
        <v>14089</v>
      </c>
      <c r="T811" s="20">
        <v>14261</v>
      </c>
      <c r="U811" s="20">
        <v>14284</v>
      </c>
    </row>
    <row r="812" spans="1:21" x14ac:dyDescent="0.2">
      <c r="A812" s="2" t="s">
        <v>35</v>
      </c>
      <c r="B812" s="2">
        <v>2.0299999999999998</v>
      </c>
      <c r="C812" s="9">
        <v>-4.3</v>
      </c>
      <c r="D812" s="2">
        <v>2.67</v>
      </c>
      <c r="E812" s="2">
        <v>4.34</v>
      </c>
      <c r="F812" s="2">
        <v>3.74</v>
      </c>
      <c r="G812" s="2">
        <v>9.8800000000000008</v>
      </c>
      <c r="H812" s="2">
        <v>3.53</v>
      </c>
      <c r="I812" s="2">
        <v>5.21</v>
      </c>
      <c r="J812" s="2">
        <v>56.2</v>
      </c>
      <c r="K812" s="2">
        <v>5.26</v>
      </c>
      <c r="L812" s="2">
        <v>3.98</v>
      </c>
      <c r="M812" s="2">
        <v>4.08</v>
      </c>
      <c r="N812" s="2">
        <v>3.45</v>
      </c>
      <c r="O812" s="2">
        <v>2.0299999999999998</v>
      </c>
      <c r="P812" s="9">
        <v>-0.88</v>
      </c>
      <c r="Q812" s="9">
        <v>-1.81</v>
      </c>
      <c r="R812" s="9">
        <v>-3.74</v>
      </c>
      <c r="S812" s="9">
        <v>-4.3</v>
      </c>
      <c r="T812" s="9">
        <v>-0.42</v>
      </c>
      <c r="U812" s="9">
        <v>-0.52</v>
      </c>
    </row>
    <row r="813" spans="1:21" x14ac:dyDescent="0.2">
      <c r="A813" s="6" t="s">
        <v>213</v>
      </c>
      <c r="B813" s="6">
        <v>213.69</v>
      </c>
      <c r="C813" s="6">
        <v>226.11</v>
      </c>
      <c r="D813" s="6">
        <v>251.83</v>
      </c>
      <c r="E813" s="6">
        <v>240.35</v>
      </c>
      <c r="F813" s="6">
        <v>234.84</v>
      </c>
      <c r="G813" s="6">
        <v>253.24</v>
      </c>
      <c r="H813" s="6">
        <v>291.91000000000003</v>
      </c>
      <c r="I813" s="6">
        <v>219.26</v>
      </c>
      <c r="J813" s="6">
        <v>202.97</v>
      </c>
      <c r="K813" s="6">
        <v>87.9</v>
      </c>
      <c r="L813" s="6">
        <v>204.34</v>
      </c>
      <c r="M813" s="6">
        <v>211.03</v>
      </c>
      <c r="N813" s="6">
        <v>217.19</v>
      </c>
      <c r="O813" s="6">
        <v>213.69</v>
      </c>
      <c r="P813" s="6">
        <v>218.77</v>
      </c>
      <c r="Q813" s="6">
        <v>219.31</v>
      </c>
      <c r="R813" s="6">
        <v>224.61</v>
      </c>
      <c r="S813" s="6">
        <v>226.11</v>
      </c>
      <c r="T813" s="6">
        <v>234.9</v>
      </c>
      <c r="U813" s="6">
        <v>244.25</v>
      </c>
    </row>
    <row r="814" spans="1:21" x14ac:dyDescent="0.2">
      <c r="A814" s="11" t="s">
        <v>214</v>
      </c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</row>
    <row r="815" spans="1:21" x14ac:dyDescent="0.2">
      <c r="A815" s="7" t="s">
        <v>215</v>
      </c>
      <c r="B815" s="20">
        <v>-7648</v>
      </c>
      <c r="C815" s="20">
        <v>-7858</v>
      </c>
      <c r="D815" s="20">
        <v>-8876</v>
      </c>
      <c r="E815" s="20">
        <v>-8373</v>
      </c>
      <c r="F815" s="20">
        <v>-7891</v>
      </c>
      <c r="G815" s="20">
        <v>-8016</v>
      </c>
      <c r="H815" s="20">
        <v>-7926</v>
      </c>
      <c r="I815" s="20">
        <v>-6334</v>
      </c>
      <c r="J815" s="20">
        <v>-5615</v>
      </c>
      <c r="K815" s="7">
        <v>911</v>
      </c>
      <c r="L815" s="20">
        <v>-7505</v>
      </c>
      <c r="M815" s="20">
        <v>-7680</v>
      </c>
      <c r="N815" s="20">
        <v>-7804</v>
      </c>
      <c r="O815" s="20">
        <v>-7648</v>
      </c>
      <c r="P815" s="20">
        <v>-7674</v>
      </c>
      <c r="Q815" s="20">
        <v>-7630</v>
      </c>
      <c r="R815" s="20">
        <v>-7756</v>
      </c>
      <c r="S815" s="20">
        <v>-7858</v>
      </c>
      <c r="T815" s="20">
        <v>-8190</v>
      </c>
      <c r="U815" s="20">
        <v>-8436</v>
      </c>
    </row>
    <row r="816" spans="1:21" x14ac:dyDescent="0.2">
      <c r="A816" s="2" t="s">
        <v>216</v>
      </c>
      <c r="B816" s="2">
        <v>0</v>
      </c>
      <c r="C816" s="2">
        <v>60</v>
      </c>
      <c r="D816" s="2">
        <v>0</v>
      </c>
      <c r="E816" s="2">
        <v>0</v>
      </c>
      <c r="F816" s="2">
        <v>0</v>
      </c>
      <c r="G816" s="2">
        <v>0</v>
      </c>
      <c r="H816" s="2">
        <v>0</v>
      </c>
      <c r="I816" s="2">
        <v>0</v>
      </c>
      <c r="J816" s="2">
        <v>0</v>
      </c>
      <c r="K816" s="2">
        <v>0</v>
      </c>
      <c r="L816" s="2">
        <v>0</v>
      </c>
      <c r="M816" s="2">
        <v>0</v>
      </c>
      <c r="N816" s="2">
        <v>0</v>
      </c>
      <c r="O816" s="2">
        <v>0</v>
      </c>
      <c r="P816" s="2">
        <v>0</v>
      </c>
      <c r="Q816" s="2">
        <v>0</v>
      </c>
      <c r="R816" s="2">
        <v>45</v>
      </c>
      <c r="S816" s="2">
        <v>60</v>
      </c>
      <c r="T816" s="2">
        <v>33</v>
      </c>
      <c r="U816" s="2">
        <v>13</v>
      </c>
    </row>
    <row r="817" spans="1:21" x14ac:dyDescent="0.2">
      <c r="A817" s="6" t="s">
        <v>218</v>
      </c>
      <c r="B817" s="26">
        <v>-7256</v>
      </c>
      <c r="C817" s="26">
        <v>-7616</v>
      </c>
      <c r="D817" s="26">
        <v>-8507</v>
      </c>
      <c r="E817" s="26">
        <v>-8048</v>
      </c>
      <c r="F817" s="26">
        <v>-7480</v>
      </c>
      <c r="G817" s="26">
        <v>-7628</v>
      </c>
      <c r="H817" s="26">
        <v>-7592</v>
      </c>
      <c r="I817" s="26">
        <v>-6063</v>
      </c>
      <c r="J817" s="26">
        <v>-5157</v>
      </c>
      <c r="K817" s="22">
        <v>1150</v>
      </c>
      <c r="L817" s="26">
        <v>-7183</v>
      </c>
      <c r="M817" s="26">
        <v>-7361</v>
      </c>
      <c r="N817" s="26">
        <v>-7434</v>
      </c>
      <c r="O817" s="26">
        <v>-7256</v>
      </c>
      <c r="P817" s="26">
        <v>-7389</v>
      </c>
      <c r="Q817" s="26">
        <v>-7321</v>
      </c>
      <c r="R817" s="26">
        <v>-7492</v>
      </c>
      <c r="S817" s="26">
        <v>-7616</v>
      </c>
      <c r="T817" s="26">
        <v>-7909</v>
      </c>
      <c r="U817" s="26">
        <v>-8156</v>
      </c>
    </row>
    <row r="818" spans="1:21" x14ac:dyDescent="0.2">
      <c r="A818" s="2" t="s">
        <v>219</v>
      </c>
      <c r="B818" s="9">
        <v>-238</v>
      </c>
      <c r="C818" s="9">
        <v>-201</v>
      </c>
      <c r="D818" s="9">
        <v>-290</v>
      </c>
      <c r="E818" s="9">
        <v>-206</v>
      </c>
      <c r="F818" s="9">
        <v>-182</v>
      </c>
      <c r="G818" s="9">
        <v>-221</v>
      </c>
      <c r="H818" s="9">
        <v>-245</v>
      </c>
      <c r="I818" s="9">
        <v>-174</v>
      </c>
      <c r="J818" s="9">
        <v>-336</v>
      </c>
      <c r="K818" s="9">
        <v>-109</v>
      </c>
      <c r="L818" s="9">
        <v>-168</v>
      </c>
      <c r="M818" s="9">
        <v>-162</v>
      </c>
      <c r="N818" s="9">
        <v>-213</v>
      </c>
      <c r="O818" s="9">
        <v>-238</v>
      </c>
      <c r="P818" s="9">
        <v>-175</v>
      </c>
      <c r="Q818" s="9">
        <v>-209</v>
      </c>
      <c r="R818" s="9">
        <v>-211</v>
      </c>
      <c r="S818" s="9">
        <v>-201</v>
      </c>
      <c r="T818" s="9">
        <v>-238</v>
      </c>
      <c r="U818" s="9">
        <v>-218</v>
      </c>
    </row>
    <row r="819" spans="1:21" x14ac:dyDescent="0.2">
      <c r="A819" s="6" t="s">
        <v>301</v>
      </c>
      <c r="B819" s="13">
        <v>-154</v>
      </c>
      <c r="C819" s="13">
        <v>-101</v>
      </c>
      <c r="D819" s="13">
        <v>-79</v>
      </c>
      <c r="E819" s="13">
        <v>-119</v>
      </c>
      <c r="F819" s="13">
        <v>-229</v>
      </c>
      <c r="G819" s="13">
        <v>-167</v>
      </c>
      <c r="H819" s="13">
        <v>-89</v>
      </c>
      <c r="I819" s="13">
        <v>-97</v>
      </c>
      <c r="J819" s="13">
        <v>-122</v>
      </c>
      <c r="K819" s="13">
        <v>-130</v>
      </c>
      <c r="L819" s="13">
        <v>-154</v>
      </c>
      <c r="M819" s="13">
        <v>-157</v>
      </c>
      <c r="N819" s="13">
        <v>-157</v>
      </c>
      <c r="O819" s="13">
        <v>-154</v>
      </c>
      <c r="P819" s="13">
        <v>-110</v>
      </c>
      <c r="Q819" s="13">
        <v>-100</v>
      </c>
      <c r="R819" s="13">
        <v>-98</v>
      </c>
      <c r="S819" s="13">
        <v>-101</v>
      </c>
      <c r="T819" s="13">
        <v>-76</v>
      </c>
      <c r="U819" s="13">
        <v>-75</v>
      </c>
    </row>
    <row r="820" spans="1:21" x14ac:dyDescent="0.2">
      <c r="A820" s="11" t="s">
        <v>222</v>
      </c>
      <c r="B820" s="19">
        <v>-7648</v>
      </c>
      <c r="C820" s="19">
        <v>-7858</v>
      </c>
      <c r="D820" s="19">
        <v>-8876</v>
      </c>
      <c r="E820" s="19">
        <v>-8373</v>
      </c>
      <c r="F820" s="19">
        <v>-7891</v>
      </c>
      <c r="G820" s="19">
        <v>-8016</v>
      </c>
      <c r="H820" s="19">
        <v>-7926</v>
      </c>
      <c r="I820" s="19">
        <v>-6334</v>
      </c>
      <c r="J820" s="19">
        <v>-5615</v>
      </c>
      <c r="K820" s="11">
        <v>911</v>
      </c>
      <c r="L820" s="19">
        <v>-7505</v>
      </c>
      <c r="M820" s="19">
        <v>-7680</v>
      </c>
      <c r="N820" s="19">
        <v>-7804</v>
      </c>
      <c r="O820" s="19">
        <v>-7648</v>
      </c>
      <c r="P820" s="19">
        <v>-7674</v>
      </c>
      <c r="Q820" s="19">
        <v>-7630</v>
      </c>
      <c r="R820" s="19">
        <v>-7756</v>
      </c>
      <c r="S820" s="19">
        <v>-7858</v>
      </c>
      <c r="T820" s="19">
        <v>-8190</v>
      </c>
      <c r="U820" s="19">
        <v>-8436</v>
      </c>
    </row>
    <row r="821" spans="1:21" x14ac:dyDescent="0.2">
      <c r="A821" s="6" t="s">
        <v>35</v>
      </c>
      <c r="B821" s="6">
        <v>2.67</v>
      </c>
      <c r="C821" s="6">
        <v>11.47</v>
      </c>
      <c r="D821" s="13">
        <v>-6.01</v>
      </c>
      <c r="E821" s="13">
        <v>-6.11</v>
      </c>
      <c r="F821" s="6">
        <v>1.56</v>
      </c>
      <c r="G821" s="13">
        <v>-1.1399999999999999</v>
      </c>
      <c r="H821" s="13">
        <v>-25.13</v>
      </c>
      <c r="I821" s="13">
        <v>-12.8</v>
      </c>
      <c r="J821" s="13">
        <v>-716.36</v>
      </c>
      <c r="K821" s="13">
        <v>-41.11</v>
      </c>
      <c r="L821" s="6">
        <v>2.2000000000000002</v>
      </c>
      <c r="M821" s="13">
        <v>-0.66</v>
      </c>
      <c r="N821" s="13">
        <v>-0.62</v>
      </c>
      <c r="O821" s="6">
        <v>2.67</v>
      </c>
      <c r="P821" s="6">
        <v>6.3</v>
      </c>
      <c r="Q821" s="6">
        <v>9.5500000000000007</v>
      </c>
      <c r="R821" s="6">
        <v>11.6</v>
      </c>
      <c r="S821" s="6">
        <v>11.47</v>
      </c>
      <c r="T821" s="6">
        <v>4.12</v>
      </c>
      <c r="U821" s="6">
        <v>1.54</v>
      </c>
    </row>
    <row r="822" spans="1:21" x14ac:dyDescent="0.2">
      <c r="A822" s="2" t="s">
        <v>223</v>
      </c>
      <c r="B822" s="9">
        <v>-113.69</v>
      </c>
      <c r="C822" s="9">
        <v>-126.11</v>
      </c>
      <c r="D822" s="9">
        <v>-151.83000000000001</v>
      </c>
      <c r="E822" s="9">
        <v>-140.35</v>
      </c>
      <c r="F822" s="9">
        <v>-134.84</v>
      </c>
      <c r="G822" s="9">
        <v>-153.24</v>
      </c>
      <c r="H822" s="9">
        <v>-191.91</v>
      </c>
      <c r="I822" s="9">
        <v>-119.26</v>
      </c>
      <c r="J822" s="9">
        <v>-102.97</v>
      </c>
      <c r="K822" s="2">
        <v>11.3</v>
      </c>
      <c r="L822" s="9">
        <v>-104.34</v>
      </c>
      <c r="M822" s="9">
        <v>-111.03</v>
      </c>
      <c r="N822" s="9">
        <v>-117.19</v>
      </c>
      <c r="O822" s="9">
        <v>-113.69</v>
      </c>
      <c r="P822" s="9">
        <v>-118.77</v>
      </c>
      <c r="Q822" s="9">
        <v>-119.31</v>
      </c>
      <c r="R822" s="9">
        <v>-124.61</v>
      </c>
      <c r="S822" s="9">
        <v>-126.11</v>
      </c>
      <c r="T822" s="9">
        <v>-134.9</v>
      </c>
      <c r="U822" s="9">
        <v>-144.25</v>
      </c>
    </row>
    <row r="823" spans="1:21" x14ac:dyDescent="0.2">
      <c r="A823" s="6" t="s">
        <v>302</v>
      </c>
      <c r="B823" s="6">
        <v>0</v>
      </c>
      <c r="C823" s="6">
        <v>0</v>
      </c>
      <c r="D823" s="6">
        <v>0</v>
      </c>
      <c r="E823" s="6">
        <v>0</v>
      </c>
      <c r="F823" s="6">
        <v>0</v>
      </c>
      <c r="G823" s="6">
        <v>0</v>
      </c>
      <c r="H823" s="6">
        <v>0</v>
      </c>
      <c r="I823" s="6">
        <v>0</v>
      </c>
      <c r="J823" s="6">
        <v>0</v>
      </c>
      <c r="K823" s="6">
        <v>64</v>
      </c>
      <c r="L823" s="6">
        <v>0</v>
      </c>
      <c r="M823" s="6">
        <v>0</v>
      </c>
      <c r="N823" s="6">
        <v>0</v>
      </c>
      <c r="O823" s="6">
        <v>0</v>
      </c>
      <c r="P823" s="6">
        <v>0</v>
      </c>
      <c r="Q823" s="6">
        <v>0</v>
      </c>
      <c r="R823" s="6">
        <v>0</v>
      </c>
      <c r="S823" s="6">
        <v>0</v>
      </c>
      <c r="T823" s="6">
        <v>0</v>
      </c>
      <c r="U823" s="6">
        <v>0</v>
      </c>
    </row>
    <row r="824" spans="1:21" x14ac:dyDescent="0.2">
      <c r="A824" s="11" t="s">
        <v>224</v>
      </c>
      <c r="B824" s="19">
        <v>-7648</v>
      </c>
      <c r="C824" s="19">
        <v>-7858</v>
      </c>
      <c r="D824" s="19">
        <v>-8876</v>
      </c>
      <c r="E824" s="19">
        <v>-8373</v>
      </c>
      <c r="F824" s="19">
        <v>-7891</v>
      </c>
      <c r="G824" s="19">
        <v>-8016</v>
      </c>
      <c r="H824" s="19">
        <v>-7926</v>
      </c>
      <c r="I824" s="19">
        <v>-6334</v>
      </c>
      <c r="J824" s="19">
        <v>-5615</v>
      </c>
      <c r="K824" s="11">
        <v>975</v>
      </c>
      <c r="L824" s="19">
        <v>-7505</v>
      </c>
      <c r="M824" s="19">
        <v>-7680</v>
      </c>
      <c r="N824" s="19">
        <v>-7804</v>
      </c>
      <c r="O824" s="19">
        <v>-7648</v>
      </c>
      <c r="P824" s="19">
        <v>-7674</v>
      </c>
      <c r="Q824" s="19">
        <v>-7630</v>
      </c>
      <c r="R824" s="19">
        <v>-7756</v>
      </c>
      <c r="S824" s="19">
        <v>-7858</v>
      </c>
      <c r="T824" s="19">
        <v>-8190</v>
      </c>
      <c r="U824" s="19">
        <v>-8436</v>
      </c>
    </row>
    <row r="825" spans="1:21" x14ac:dyDescent="0.2">
      <c r="A825" s="6" t="s">
        <v>35</v>
      </c>
      <c r="B825" s="6">
        <v>2.67</v>
      </c>
      <c r="C825" s="6">
        <v>11.47</v>
      </c>
      <c r="D825" s="13">
        <v>-6.01</v>
      </c>
      <c r="E825" s="13">
        <v>-6.11</v>
      </c>
      <c r="F825" s="6">
        <v>1.56</v>
      </c>
      <c r="G825" s="13">
        <v>-1.1399999999999999</v>
      </c>
      <c r="H825" s="13">
        <v>-25.13</v>
      </c>
      <c r="I825" s="13">
        <v>-12.8</v>
      </c>
      <c r="J825" s="13">
        <v>-675.9</v>
      </c>
      <c r="K825" s="13">
        <v>-39.549999999999997</v>
      </c>
      <c r="L825" s="6">
        <v>2.2000000000000002</v>
      </c>
      <c r="M825" s="13">
        <v>-0.66</v>
      </c>
      <c r="N825" s="13">
        <v>-0.62</v>
      </c>
      <c r="O825" s="6">
        <v>2.67</v>
      </c>
      <c r="P825" s="6">
        <v>6.3</v>
      </c>
      <c r="Q825" s="6">
        <v>9.5500000000000007</v>
      </c>
      <c r="R825" s="6">
        <v>11.6</v>
      </c>
      <c r="S825" s="6">
        <v>11.47</v>
      </c>
      <c r="T825" s="6">
        <v>4.12</v>
      </c>
      <c r="U825" s="6">
        <v>1.54</v>
      </c>
    </row>
    <row r="826" spans="1:21" x14ac:dyDescent="0.2">
      <c r="A826" s="2" t="s">
        <v>225</v>
      </c>
      <c r="B826" s="9">
        <v>-113.69</v>
      </c>
      <c r="C826" s="9">
        <v>-126.11</v>
      </c>
      <c r="D826" s="9">
        <v>-151.83000000000001</v>
      </c>
      <c r="E826" s="9">
        <v>-140.35</v>
      </c>
      <c r="F826" s="9">
        <v>-134.84</v>
      </c>
      <c r="G826" s="9">
        <v>-153.24</v>
      </c>
      <c r="H826" s="9">
        <v>-191.91</v>
      </c>
      <c r="I826" s="9">
        <v>-119.26</v>
      </c>
      <c r="J826" s="9">
        <v>-102.97</v>
      </c>
      <c r="K826" s="2">
        <v>12.1</v>
      </c>
      <c r="L826" s="9">
        <v>-104.34</v>
      </c>
      <c r="M826" s="9">
        <v>-111.03</v>
      </c>
      <c r="N826" s="9">
        <v>-117.19</v>
      </c>
      <c r="O826" s="9">
        <v>-113.69</v>
      </c>
      <c r="P826" s="9">
        <v>-118.77</v>
      </c>
      <c r="Q826" s="9">
        <v>-119.31</v>
      </c>
      <c r="R826" s="9">
        <v>-124.61</v>
      </c>
      <c r="S826" s="9">
        <v>-126.11</v>
      </c>
      <c r="T826" s="9">
        <v>-134.9</v>
      </c>
      <c r="U826" s="9">
        <v>-144.25</v>
      </c>
    </row>
    <row r="827" spans="1:21" x14ac:dyDescent="0.2">
      <c r="A827" s="7" t="s">
        <v>226</v>
      </c>
      <c r="B827" s="20">
        <v>6727</v>
      </c>
      <c r="C827" s="20">
        <v>6231</v>
      </c>
      <c r="D827" s="20">
        <v>5846</v>
      </c>
      <c r="E827" s="20">
        <v>5966</v>
      </c>
      <c r="F827" s="20">
        <v>5852</v>
      </c>
      <c r="G827" s="20">
        <v>5231</v>
      </c>
      <c r="H827" s="20">
        <v>4130</v>
      </c>
      <c r="I827" s="20">
        <v>5311</v>
      </c>
      <c r="J827" s="20">
        <v>5453</v>
      </c>
      <c r="K827" s="20">
        <v>8061</v>
      </c>
      <c r="L827" s="20">
        <v>7193</v>
      </c>
      <c r="M827" s="20">
        <v>6917</v>
      </c>
      <c r="N827" s="20">
        <v>6659</v>
      </c>
      <c r="O827" s="20">
        <v>6727</v>
      </c>
      <c r="P827" s="20">
        <v>6461</v>
      </c>
      <c r="Q827" s="20">
        <v>6395</v>
      </c>
      <c r="R827" s="20">
        <v>6224</v>
      </c>
      <c r="S827" s="20">
        <v>6231</v>
      </c>
      <c r="T827" s="20">
        <v>6071</v>
      </c>
      <c r="U827" s="20">
        <v>5848</v>
      </c>
    </row>
    <row r="828" spans="1:21" x14ac:dyDescent="0.2">
      <c r="A828" s="2" t="s">
        <v>35</v>
      </c>
      <c r="B828" s="2">
        <v>7.96</v>
      </c>
      <c r="C828" s="2">
        <v>6.59</v>
      </c>
      <c r="D828" s="9">
        <v>-2.0099999999999998</v>
      </c>
      <c r="E828" s="2">
        <v>1.95</v>
      </c>
      <c r="F828" s="2">
        <v>11.87</v>
      </c>
      <c r="G828" s="2">
        <v>26.66</v>
      </c>
      <c r="H828" s="9">
        <v>-22.24</v>
      </c>
      <c r="I828" s="9">
        <v>-2.6</v>
      </c>
      <c r="J828" s="9">
        <v>-32.35</v>
      </c>
      <c r="K828" s="9">
        <v>-3.4</v>
      </c>
      <c r="L828" s="2">
        <v>11.33</v>
      </c>
      <c r="M828" s="2">
        <v>8.16</v>
      </c>
      <c r="N828" s="2">
        <v>6.99</v>
      </c>
      <c r="O828" s="2">
        <v>7.96</v>
      </c>
      <c r="P828" s="2">
        <v>6.42</v>
      </c>
      <c r="Q828" s="2">
        <v>9.35</v>
      </c>
      <c r="R828" s="2">
        <v>8.26</v>
      </c>
      <c r="S828" s="2">
        <v>6.59</v>
      </c>
      <c r="T828" s="2">
        <v>5.05</v>
      </c>
      <c r="U828" s="2">
        <v>1</v>
      </c>
    </row>
    <row r="829" spans="1:21" x14ac:dyDescent="0.2">
      <c r="A829" s="6" t="s">
        <v>227</v>
      </c>
      <c r="B829" s="6">
        <v>100</v>
      </c>
      <c r="C829" s="6">
        <v>100</v>
      </c>
      <c r="D829" s="6">
        <v>100</v>
      </c>
      <c r="E829" s="6">
        <v>100</v>
      </c>
      <c r="F829" s="6">
        <v>100</v>
      </c>
      <c r="G829" s="6">
        <v>100</v>
      </c>
      <c r="H829" s="6">
        <v>100</v>
      </c>
      <c r="I829" s="6">
        <v>100</v>
      </c>
      <c r="J829" s="6">
        <v>100</v>
      </c>
      <c r="K829" s="6">
        <v>100</v>
      </c>
      <c r="L829" s="6">
        <v>100</v>
      </c>
      <c r="M829" s="6">
        <v>100</v>
      </c>
      <c r="N829" s="6">
        <v>100</v>
      </c>
      <c r="O829" s="6">
        <v>100</v>
      </c>
      <c r="P829" s="6">
        <v>100</v>
      </c>
      <c r="Q829" s="6">
        <v>100</v>
      </c>
      <c r="R829" s="6">
        <v>100</v>
      </c>
      <c r="S829" s="6">
        <v>100</v>
      </c>
      <c r="T829" s="6">
        <v>100</v>
      </c>
      <c r="U829" s="6">
        <v>100</v>
      </c>
    </row>
    <row r="830" spans="1:21" x14ac:dyDescent="0.2">
      <c r="A830" s="11" t="s">
        <v>93</v>
      </c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</row>
    <row r="831" spans="1:21" x14ac:dyDescent="0.2">
      <c r="A831" s="6" t="s">
        <v>162</v>
      </c>
      <c r="B831" s="13">
        <v>-27.41</v>
      </c>
      <c r="C831" s="13">
        <v>-27.96</v>
      </c>
      <c r="D831" s="13">
        <v>-31.7</v>
      </c>
      <c r="E831" s="13">
        <v>-28.97</v>
      </c>
      <c r="F831" s="13">
        <v>-26.3</v>
      </c>
      <c r="G831" s="13">
        <v>-26.72</v>
      </c>
      <c r="H831" s="13">
        <v>-25.9</v>
      </c>
      <c r="I831" s="13">
        <v>-19.079999999999998</v>
      </c>
      <c r="J831" s="13">
        <v>-15.82</v>
      </c>
      <c r="K831" s="6">
        <v>2.17</v>
      </c>
      <c r="L831" s="13">
        <v>-27</v>
      </c>
      <c r="M831" s="13">
        <v>-27.63</v>
      </c>
      <c r="N831" s="13">
        <v>-28.07</v>
      </c>
      <c r="O831" s="13">
        <v>-27.41</v>
      </c>
      <c r="P831" s="13">
        <v>-27.41</v>
      </c>
      <c r="Q831" s="13">
        <v>-27.15</v>
      </c>
      <c r="R831" s="13">
        <v>-27.6</v>
      </c>
      <c r="S831" s="13">
        <v>-27.96</v>
      </c>
      <c r="T831" s="13">
        <v>-29.25</v>
      </c>
      <c r="U831" s="13">
        <v>-30.13</v>
      </c>
    </row>
    <row r="832" spans="1:21" x14ac:dyDescent="0.2">
      <c r="A832" s="2" t="s">
        <v>228</v>
      </c>
      <c r="B832" s="9">
        <v>-31.54</v>
      </c>
      <c r="C832" s="9">
        <v>-31.59</v>
      </c>
      <c r="D832" s="9">
        <v>-35.24</v>
      </c>
      <c r="E832" s="9">
        <v>-32.49</v>
      </c>
      <c r="F832" s="9">
        <v>-29.44</v>
      </c>
      <c r="G832" s="9">
        <v>-29.3</v>
      </c>
      <c r="H832" s="9">
        <v>-28.41</v>
      </c>
      <c r="I832" s="9">
        <v>-20.95</v>
      </c>
      <c r="J832" s="9">
        <v>-17.75</v>
      </c>
      <c r="K832" s="2">
        <v>0.42</v>
      </c>
      <c r="L832" s="9">
        <v>-31.46</v>
      </c>
      <c r="M832" s="9">
        <v>-32.11</v>
      </c>
      <c r="N832" s="9">
        <v>-32.26</v>
      </c>
      <c r="O832" s="9">
        <v>-31.54</v>
      </c>
      <c r="P832" s="9">
        <v>-31.52</v>
      </c>
      <c r="Q832" s="9">
        <v>-31.19</v>
      </c>
      <c r="R832" s="9">
        <v>-31.2</v>
      </c>
      <c r="S832" s="9">
        <v>-31.59</v>
      </c>
      <c r="T832" s="9">
        <v>-32.85</v>
      </c>
      <c r="U832" s="9">
        <v>-33.74</v>
      </c>
    </row>
    <row r="833" spans="1:21" x14ac:dyDescent="0.2">
      <c r="A833" s="6" t="s">
        <v>111</v>
      </c>
      <c r="B833" s="6" t="s">
        <v>1</v>
      </c>
      <c r="C833" s="6" t="s">
        <v>1</v>
      </c>
      <c r="D833" s="6" t="s">
        <v>1</v>
      </c>
      <c r="E833" s="6" t="s">
        <v>1</v>
      </c>
      <c r="F833" s="6" t="s">
        <v>1</v>
      </c>
      <c r="G833" s="6" t="s">
        <v>1</v>
      </c>
      <c r="H833" s="6" t="s">
        <v>1</v>
      </c>
      <c r="I833" s="6" t="s">
        <v>1</v>
      </c>
      <c r="J833" s="6" t="s">
        <v>1</v>
      </c>
      <c r="K833" s="6" t="s">
        <v>1</v>
      </c>
      <c r="L833" s="6" t="s">
        <v>1</v>
      </c>
      <c r="M833" s="6" t="s">
        <v>1</v>
      </c>
      <c r="N833" s="6" t="s">
        <v>1</v>
      </c>
      <c r="O833" s="6" t="s">
        <v>1</v>
      </c>
      <c r="P833" s="6" t="s">
        <v>1</v>
      </c>
      <c r="Q833" s="6" t="s">
        <v>1</v>
      </c>
      <c r="R833" s="6" t="s">
        <v>1</v>
      </c>
      <c r="S833" s="6" t="s">
        <v>1</v>
      </c>
      <c r="T833" s="6" t="s">
        <v>1</v>
      </c>
      <c r="U833" s="6" t="s">
        <v>1</v>
      </c>
    </row>
    <row r="834" spans="1:21" x14ac:dyDescent="0.2">
      <c r="A834" s="2" t="s">
        <v>128</v>
      </c>
      <c r="B834" s="2">
        <v>602</v>
      </c>
      <c r="C834" s="2">
        <v>332</v>
      </c>
      <c r="D834" s="9">
        <v>-56</v>
      </c>
      <c r="E834" s="2">
        <v>117</v>
      </c>
      <c r="F834" s="2">
        <v>14</v>
      </c>
      <c r="G834" s="9">
        <v>-14</v>
      </c>
      <c r="H834" s="9">
        <v>-94</v>
      </c>
      <c r="I834" s="2">
        <v>995</v>
      </c>
      <c r="J834" s="2">
        <v>199</v>
      </c>
      <c r="K834" s="23">
        <v>-1400</v>
      </c>
      <c r="L834" s="2">
        <v>903</v>
      </c>
      <c r="M834" s="9">
        <v>-402</v>
      </c>
      <c r="N834" s="2">
        <v>497</v>
      </c>
      <c r="O834" s="2">
        <v>602</v>
      </c>
      <c r="P834" s="2">
        <v>439</v>
      </c>
      <c r="Q834" s="2">
        <v>499</v>
      </c>
      <c r="R834" s="2">
        <v>586</v>
      </c>
      <c r="S834" s="2">
        <v>332</v>
      </c>
      <c r="T834" s="2">
        <v>201</v>
      </c>
      <c r="U834" s="2">
        <v>28</v>
      </c>
    </row>
    <row r="835" spans="1:21" x14ac:dyDescent="0.2">
      <c r="A835" s="6" t="s">
        <v>229</v>
      </c>
      <c r="B835" s="22">
        <v>4638</v>
      </c>
      <c r="C835" s="22">
        <v>4173</v>
      </c>
      <c r="D835" s="22">
        <v>3785</v>
      </c>
      <c r="E835" s="22">
        <v>3754</v>
      </c>
      <c r="F835" s="22">
        <v>3754</v>
      </c>
      <c r="G835" s="22">
        <v>3253</v>
      </c>
      <c r="H835" s="22">
        <v>2146</v>
      </c>
      <c r="I835" s="22">
        <v>3470</v>
      </c>
      <c r="J835" s="22">
        <v>3510</v>
      </c>
      <c r="K835" s="22">
        <v>4839</v>
      </c>
      <c r="L835" s="22">
        <v>4975</v>
      </c>
      <c r="M835" s="22">
        <v>4630</v>
      </c>
      <c r="N835" s="22">
        <v>4422</v>
      </c>
      <c r="O835" s="22">
        <v>4638</v>
      </c>
      <c r="P835" s="22">
        <v>4387</v>
      </c>
      <c r="Q835" s="22">
        <v>4382</v>
      </c>
      <c r="R835" s="22">
        <v>4180</v>
      </c>
      <c r="S835" s="22">
        <v>4173</v>
      </c>
      <c r="T835" s="22">
        <v>4087</v>
      </c>
      <c r="U835" s="22">
        <v>3876</v>
      </c>
    </row>
    <row r="836" spans="1:21" x14ac:dyDescent="0.2">
      <c r="A836" s="2" t="s">
        <v>122</v>
      </c>
      <c r="B836" s="21">
        <v>12286</v>
      </c>
      <c r="C836" s="21">
        <v>12031</v>
      </c>
      <c r="D836" s="21">
        <v>12661</v>
      </c>
      <c r="E836" s="21">
        <v>12127</v>
      </c>
      <c r="F836" s="21">
        <v>11645</v>
      </c>
      <c r="G836" s="21">
        <v>11269</v>
      </c>
      <c r="H836" s="21">
        <v>10072</v>
      </c>
      <c r="I836" s="21">
        <v>9804</v>
      </c>
      <c r="J836" s="21">
        <v>9125</v>
      </c>
      <c r="K836" s="21">
        <v>3928</v>
      </c>
      <c r="L836" s="21">
        <v>12480</v>
      </c>
      <c r="M836" s="21">
        <v>12310</v>
      </c>
      <c r="N836" s="21">
        <v>12226</v>
      </c>
      <c r="O836" s="21">
        <v>12286</v>
      </c>
      <c r="P836" s="21">
        <v>12061</v>
      </c>
      <c r="Q836" s="21">
        <v>12012</v>
      </c>
      <c r="R836" s="21">
        <v>11936</v>
      </c>
      <c r="S836" s="21">
        <v>12031</v>
      </c>
      <c r="T836" s="21">
        <v>12277</v>
      </c>
      <c r="U836" s="21">
        <v>12312</v>
      </c>
    </row>
    <row r="837" spans="1:21" x14ac:dyDescent="0.2">
      <c r="A837" s="6" t="s">
        <v>126</v>
      </c>
      <c r="B837" s="22">
        <v>11424</v>
      </c>
      <c r="C837" s="22">
        <v>11342</v>
      </c>
      <c r="D837" s="22">
        <v>12074</v>
      </c>
      <c r="E837" s="22">
        <v>11391</v>
      </c>
      <c r="F837" s="22">
        <v>10657</v>
      </c>
      <c r="G837" s="22">
        <v>10526</v>
      </c>
      <c r="H837" s="22">
        <v>9629</v>
      </c>
      <c r="I837" s="22">
        <v>8081</v>
      </c>
      <c r="J837" s="22">
        <v>8263</v>
      </c>
      <c r="K837" s="22">
        <v>3512</v>
      </c>
      <c r="L837" s="22">
        <v>11303</v>
      </c>
      <c r="M837" s="22">
        <v>11514</v>
      </c>
      <c r="N837" s="22">
        <v>11478</v>
      </c>
      <c r="O837" s="22">
        <v>11424</v>
      </c>
      <c r="P837" s="22">
        <v>11378</v>
      </c>
      <c r="Q837" s="22">
        <v>11309</v>
      </c>
      <c r="R837" s="22">
        <v>11093</v>
      </c>
      <c r="S837" s="22">
        <v>11342</v>
      </c>
      <c r="T837" s="22">
        <v>11436</v>
      </c>
      <c r="U837" s="22">
        <v>11687</v>
      </c>
    </row>
    <row r="838" spans="1:21" x14ac:dyDescent="0.2">
      <c r="A838" s="11" t="s">
        <v>230</v>
      </c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</row>
    <row r="839" spans="1:21" x14ac:dyDescent="0.2">
      <c r="A839" s="6" t="s">
        <v>231</v>
      </c>
      <c r="B839" s="16" t="s">
        <v>59</v>
      </c>
      <c r="C839" s="16" t="s">
        <v>59</v>
      </c>
      <c r="D839" s="16" t="s">
        <v>59</v>
      </c>
      <c r="E839" s="16" t="s">
        <v>59</v>
      </c>
      <c r="F839" s="16" t="s">
        <v>59</v>
      </c>
      <c r="G839" s="16" t="s">
        <v>59</v>
      </c>
      <c r="H839" s="6">
        <v>0.78</v>
      </c>
      <c r="I839" s="6">
        <v>2.86</v>
      </c>
      <c r="J839" s="6">
        <v>3.81</v>
      </c>
      <c r="K839" s="6">
        <v>16.02</v>
      </c>
      <c r="L839" s="16" t="s">
        <v>59</v>
      </c>
      <c r="M839" s="16" t="s">
        <v>59</v>
      </c>
      <c r="N839" s="16" t="s">
        <v>59</v>
      </c>
      <c r="O839" s="16" t="s">
        <v>59</v>
      </c>
      <c r="P839" s="16" t="s">
        <v>59</v>
      </c>
      <c r="Q839" s="16" t="s">
        <v>59</v>
      </c>
      <c r="R839" s="16" t="s">
        <v>59</v>
      </c>
      <c r="S839" s="16" t="s">
        <v>59</v>
      </c>
      <c r="T839" s="16" t="s">
        <v>59</v>
      </c>
      <c r="U839" s="16" t="s">
        <v>59</v>
      </c>
    </row>
    <row r="840" spans="1:21" x14ac:dyDescent="0.2">
      <c r="A840" s="2" t="s">
        <v>232</v>
      </c>
      <c r="B840" s="2">
        <v>38.369999999999997</v>
      </c>
      <c r="C840" s="2">
        <v>37.06</v>
      </c>
      <c r="D840" s="2">
        <v>35.369999999999997</v>
      </c>
      <c r="E840" s="2">
        <v>33.68</v>
      </c>
      <c r="F840" s="2">
        <v>38.49</v>
      </c>
      <c r="G840" s="2">
        <v>39.78</v>
      </c>
      <c r="H840" s="2">
        <v>37.6</v>
      </c>
      <c r="I840" s="2">
        <v>30.71</v>
      </c>
      <c r="J840" s="2">
        <v>22.31</v>
      </c>
      <c r="K840" s="2">
        <v>21.06</v>
      </c>
      <c r="L840" s="2">
        <v>36.56</v>
      </c>
      <c r="M840" s="2">
        <v>35.68</v>
      </c>
      <c r="N840" s="2">
        <v>34.130000000000003</v>
      </c>
      <c r="O840" s="2">
        <v>38.369999999999997</v>
      </c>
      <c r="P840" s="2">
        <v>35.630000000000003</v>
      </c>
      <c r="Q840" s="2">
        <v>35.68</v>
      </c>
      <c r="R840" s="2">
        <v>33.96</v>
      </c>
      <c r="S840" s="2">
        <v>37.06</v>
      </c>
      <c r="T840" s="2">
        <v>31.7</v>
      </c>
      <c r="U840" s="2">
        <v>32.74</v>
      </c>
    </row>
    <row r="841" spans="1:21" x14ac:dyDescent="0.2">
      <c r="A841" s="6" t="s">
        <v>233</v>
      </c>
      <c r="B841" s="6">
        <v>22.09</v>
      </c>
      <c r="C841" s="6">
        <v>24.16</v>
      </c>
      <c r="D841" s="6">
        <v>24.26</v>
      </c>
      <c r="E841" s="6">
        <v>23.6</v>
      </c>
      <c r="F841" s="6">
        <v>23.88</v>
      </c>
      <c r="G841" s="6">
        <v>24.59</v>
      </c>
      <c r="H841" s="6">
        <v>19.420000000000002</v>
      </c>
      <c r="I841" s="6">
        <v>15.04</v>
      </c>
      <c r="J841" s="6">
        <v>15.99</v>
      </c>
      <c r="K841" s="6">
        <v>44.08</v>
      </c>
      <c r="L841" s="6">
        <v>99.05</v>
      </c>
      <c r="M841" s="6">
        <v>99.67</v>
      </c>
      <c r="N841" s="6">
        <v>100.8</v>
      </c>
      <c r="O841" s="6">
        <v>22.09</v>
      </c>
      <c r="P841" s="6">
        <v>110.78</v>
      </c>
      <c r="Q841" s="6">
        <v>109.46</v>
      </c>
      <c r="R841" s="6">
        <v>114.47</v>
      </c>
      <c r="S841" s="6">
        <v>24.16</v>
      </c>
      <c r="T841" s="6">
        <v>111.35</v>
      </c>
      <c r="U841" s="6">
        <v>110.09</v>
      </c>
    </row>
    <row r="842" spans="1:21" x14ac:dyDescent="0.2">
      <c r="A842" s="11" t="s">
        <v>355</v>
      </c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</row>
    <row r="843" spans="1:21" x14ac:dyDescent="0.2">
      <c r="A843" s="6" t="s">
        <v>356</v>
      </c>
      <c r="B843" s="13">
        <v>-143</v>
      </c>
      <c r="C843" s="13">
        <v>-104</v>
      </c>
      <c r="D843" s="13">
        <v>-94</v>
      </c>
      <c r="E843" s="13">
        <v>-34</v>
      </c>
      <c r="F843" s="13">
        <v>-96</v>
      </c>
      <c r="G843" s="13">
        <v>-104</v>
      </c>
      <c r="H843" s="13">
        <v>-82</v>
      </c>
      <c r="I843" s="13">
        <v>-106</v>
      </c>
      <c r="J843" s="13">
        <v>-127</v>
      </c>
      <c r="K843" s="13">
        <v>-113</v>
      </c>
      <c r="L843" s="13">
        <v>-139</v>
      </c>
      <c r="M843" s="13">
        <v>-141</v>
      </c>
      <c r="N843" s="13">
        <v>-141</v>
      </c>
      <c r="O843" s="13">
        <v>-143</v>
      </c>
      <c r="P843" s="13">
        <v>-103</v>
      </c>
      <c r="Q843" s="13">
        <v>-103</v>
      </c>
      <c r="R843" s="13">
        <v>-104</v>
      </c>
      <c r="S843" s="13">
        <v>-104</v>
      </c>
      <c r="T843" s="13">
        <v>-95</v>
      </c>
      <c r="U843" s="13">
        <v>-95</v>
      </c>
    </row>
    <row r="844" spans="1:21" x14ac:dyDescent="0.2">
      <c r="A844" s="2" t="s">
        <v>357</v>
      </c>
      <c r="B844" s="9">
        <v>-11</v>
      </c>
      <c r="C844" s="2">
        <v>3</v>
      </c>
      <c r="D844" s="2">
        <v>15</v>
      </c>
      <c r="E844" s="9">
        <v>-85</v>
      </c>
      <c r="F844" s="9">
        <v>-133</v>
      </c>
      <c r="G844" s="9">
        <v>-63</v>
      </c>
      <c r="H844" s="9">
        <v>-7</v>
      </c>
      <c r="I844" s="2">
        <v>9</v>
      </c>
      <c r="J844" s="2">
        <v>5</v>
      </c>
      <c r="K844" s="9">
        <v>-17</v>
      </c>
      <c r="L844" s="9">
        <v>-15</v>
      </c>
      <c r="M844" s="9">
        <v>-16</v>
      </c>
      <c r="N844" s="9">
        <v>-16</v>
      </c>
      <c r="O844" s="9">
        <v>-11</v>
      </c>
      <c r="P844" s="9">
        <v>-7</v>
      </c>
      <c r="Q844" s="2">
        <v>3</v>
      </c>
      <c r="R844" s="2">
        <v>6</v>
      </c>
      <c r="S844" s="2">
        <v>3</v>
      </c>
      <c r="T844" s="2">
        <v>19</v>
      </c>
      <c r="U844" s="2">
        <v>20</v>
      </c>
    </row>
    <row r="845" spans="1:21" x14ac:dyDescent="0.2">
      <c r="A845" s="7" t="s">
        <v>234</v>
      </c>
      <c r="B845" s="7" t="s">
        <v>1</v>
      </c>
      <c r="C845" s="7" t="s">
        <v>1</v>
      </c>
      <c r="D845" s="7" t="s">
        <v>1</v>
      </c>
      <c r="E845" s="7" t="s">
        <v>1</v>
      </c>
      <c r="F845" s="7" t="s">
        <v>1</v>
      </c>
      <c r="G845" s="7" t="s">
        <v>1</v>
      </c>
      <c r="H845" s="7" t="s">
        <v>1</v>
      </c>
      <c r="I845" s="7" t="s">
        <v>1</v>
      </c>
      <c r="J845" s="7" t="s">
        <v>1</v>
      </c>
      <c r="K845" s="7" t="s">
        <v>1</v>
      </c>
      <c r="L845" s="7" t="s">
        <v>1</v>
      </c>
      <c r="M845" s="7" t="s">
        <v>1</v>
      </c>
      <c r="N845" s="7" t="s">
        <v>1</v>
      </c>
      <c r="O845" s="7" t="s">
        <v>1</v>
      </c>
      <c r="P845" s="7" t="s">
        <v>1</v>
      </c>
      <c r="Q845" s="7" t="s">
        <v>1</v>
      </c>
      <c r="R845" s="7" t="s">
        <v>1</v>
      </c>
      <c r="S845" s="7" t="s">
        <v>1</v>
      </c>
      <c r="T845" s="7" t="s">
        <v>1</v>
      </c>
      <c r="U845" s="7" t="s">
        <v>1</v>
      </c>
    </row>
    <row r="846" spans="1:21" x14ac:dyDescent="0.2">
      <c r="A846" s="2" t="s">
        <v>115</v>
      </c>
      <c r="B846" s="2">
        <v>49</v>
      </c>
      <c r="C846" s="2">
        <v>83</v>
      </c>
      <c r="D846" s="2">
        <v>79</v>
      </c>
      <c r="E846" s="2">
        <v>59.13</v>
      </c>
      <c r="F846" s="2">
        <v>81.760000000000005</v>
      </c>
      <c r="G846" s="2">
        <v>51.83</v>
      </c>
      <c r="H846" s="2">
        <v>50</v>
      </c>
      <c r="I846" s="2">
        <v>65</v>
      </c>
      <c r="J846" s="2">
        <v>54</v>
      </c>
      <c r="K846" s="2">
        <v>31</v>
      </c>
      <c r="L846" s="2">
        <v>15.01</v>
      </c>
      <c r="M846" s="2">
        <v>13.43</v>
      </c>
      <c r="N846" s="2">
        <v>26</v>
      </c>
      <c r="O846" s="2">
        <v>3.16</v>
      </c>
      <c r="P846" s="2">
        <v>11.85</v>
      </c>
      <c r="Q846" s="2">
        <v>14.22</v>
      </c>
      <c r="R846" s="2">
        <v>25.28</v>
      </c>
      <c r="S846" s="2">
        <v>11.06</v>
      </c>
      <c r="T846" s="2">
        <v>24</v>
      </c>
      <c r="U846" s="2">
        <v>18.170000000000002</v>
      </c>
    </row>
    <row r="847" spans="1:21" x14ac:dyDescent="0.2">
      <c r="A847" s="6" t="s">
        <v>235</v>
      </c>
      <c r="B847" s="6" t="s">
        <v>1</v>
      </c>
      <c r="C847" s="6" t="s">
        <v>1</v>
      </c>
      <c r="D847" s="6" t="s">
        <v>1</v>
      </c>
      <c r="E847" s="6" t="s">
        <v>1</v>
      </c>
      <c r="F847" s="6" t="s">
        <v>1</v>
      </c>
      <c r="G847" s="6" t="s">
        <v>1</v>
      </c>
      <c r="H847" s="6" t="s">
        <v>1</v>
      </c>
      <c r="I847" s="6" t="s">
        <v>1</v>
      </c>
      <c r="J847" s="6" t="s">
        <v>1</v>
      </c>
      <c r="K847" s="6" t="s">
        <v>1</v>
      </c>
      <c r="L847" s="6" t="s">
        <v>1</v>
      </c>
      <c r="M847" s="6" t="s">
        <v>1</v>
      </c>
      <c r="N847" s="6" t="s">
        <v>1</v>
      </c>
      <c r="O847" s="6" t="s">
        <v>1</v>
      </c>
      <c r="P847" s="6" t="s">
        <v>1</v>
      </c>
      <c r="Q847" s="6" t="s">
        <v>1</v>
      </c>
      <c r="R847" s="6" t="s">
        <v>1</v>
      </c>
      <c r="S847" s="6" t="s">
        <v>1</v>
      </c>
      <c r="T847" s="6" t="s">
        <v>1</v>
      </c>
      <c r="U847" s="6" t="s">
        <v>1</v>
      </c>
    </row>
    <row r="848" spans="1:21" x14ac:dyDescent="0.2">
      <c r="A848" s="11" t="s">
        <v>236</v>
      </c>
      <c r="B848" s="19">
        <v>1264</v>
      </c>
      <c r="C848" s="19">
        <v>1099</v>
      </c>
      <c r="D848" s="19">
        <v>1061</v>
      </c>
      <c r="E848" s="19">
        <v>1163</v>
      </c>
      <c r="F848" s="19">
        <v>1225</v>
      </c>
      <c r="G848" s="11">
        <v>987</v>
      </c>
      <c r="H848" s="11">
        <v>786</v>
      </c>
      <c r="I848" s="11">
        <v>899</v>
      </c>
      <c r="J848" s="17" t="s">
        <v>59</v>
      </c>
      <c r="K848" s="17" t="s">
        <v>59</v>
      </c>
      <c r="L848" s="17" t="s">
        <v>59</v>
      </c>
      <c r="M848" s="17" t="s">
        <v>59</v>
      </c>
      <c r="N848" s="17" t="s">
        <v>59</v>
      </c>
      <c r="O848" s="17" t="s">
        <v>59</v>
      </c>
      <c r="P848" s="17" t="s">
        <v>59</v>
      </c>
      <c r="Q848" s="17" t="s">
        <v>59</v>
      </c>
      <c r="R848" s="17" t="s">
        <v>59</v>
      </c>
      <c r="S848" s="17" t="s">
        <v>59</v>
      </c>
      <c r="T848" s="17" t="s">
        <v>59</v>
      </c>
      <c r="U848" s="17" t="s">
        <v>59</v>
      </c>
    </row>
    <row r="849" spans="1:21" x14ac:dyDescent="0.2">
      <c r="A849" s="6" t="s">
        <v>237</v>
      </c>
      <c r="B849" s="6">
        <v>137</v>
      </c>
      <c r="C849" s="6">
        <v>118</v>
      </c>
      <c r="D849" s="6">
        <v>116</v>
      </c>
      <c r="E849" s="6">
        <v>131</v>
      </c>
      <c r="F849" s="6">
        <v>128</v>
      </c>
      <c r="G849" s="6">
        <v>105</v>
      </c>
      <c r="H849" s="6">
        <v>103</v>
      </c>
      <c r="I849" s="6">
        <v>124</v>
      </c>
      <c r="J849" s="16" t="s">
        <v>59</v>
      </c>
      <c r="K849" s="16" t="s">
        <v>59</v>
      </c>
      <c r="L849" s="16" t="s">
        <v>59</v>
      </c>
      <c r="M849" s="16" t="s">
        <v>59</v>
      </c>
      <c r="N849" s="16" t="s">
        <v>59</v>
      </c>
      <c r="O849" s="16" t="s">
        <v>59</v>
      </c>
      <c r="P849" s="16" t="s">
        <v>59</v>
      </c>
      <c r="Q849" s="16" t="s">
        <v>59</v>
      </c>
      <c r="R849" s="16" t="s">
        <v>59</v>
      </c>
      <c r="S849" s="16" t="s">
        <v>59</v>
      </c>
      <c r="T849" s="16" t="s">
        <v>59</v>
      </c>
      <c r="U849" s="16" t="s">
        <v>59</v>
      </c>
    </row>
    <row r="850" spans="1:21" x14ac:dyDescent="0.2">
      <c r="A850" s="2" t="s">
        <v>238</v>
      </c>
      <c r="B850" s="2">
        <v>142</v>
      </c>
      <c r="C850" s="2">
        <v>124</v>
      </c>
      <c r="D850" s="2">
        <v>119</v>
      </c>
      <c r="E850" s="2">
        <v>128</v>
      </c>
      <c r="F850" s="2">
        <v>133</v>
      </c>
      <c r="G850" s="2">
        <v>100</v>
      </c>
      <c r="H850" s="2">
        <v>89</v>
      </c>
      <c r="I850" s="2">
        <v>111</v>
      </c>
      <c r="J850" s="15" t="s">
        <v>59</v>
      </c>
      <c r="K850" s="15" t="s">
        <v>59</v>
      </c>
      <c r="L850" s="15" t="s">
        <v>59</v>
      </c>
      <c r="M850" s="15" t="s">
        <v>59</v>
      </c>
      <c r="N850" s="15" t="s">
        <v>59</v>
      </c>
      <c r="O850" s="15" t="s">
        <v>59</v>
      </c>
      <c r="P850" s="15" t="s">
        <v>59</v>
      </c>
      <c r="Q850" s="15" t="s">
        <v>59</v>
      </c>
      <c r="R850" s="15" t="s">
        <v>59</v>
      </c>
      <c r="S850" s="15" t="s">
        <v>59</v>
      </c>
      <c r="T850" s="15" t="s">
        <v>59</v>
      </c>
      <c r="U850" s="15" t="s">
        <v>59</v>
      </c>
    </row>
    <row r="851" spans="1:21" x14ac:dyDescent="0.2">
      <c r="A851" s="6" t="s">
        <v>239</v>
      </c>
      <c r="B851" s="6">
        <v>134</v>
      </c>
      <c r="C851" s="6">
        <v>118</v>
      </c>
      <c r="D851" s="6">
        <v>109</v>
      </c>
      <c r="E851" s="6">
        <v>119</v>
      </c>
      <c r="F851" s="6">
        <v>123</v>
      </c>
      <c r="G851" s="6">
        <v>92</v>
      </c>
      <c r="H851" s="6">
        <v>78</v>
      </c>
      <c r="I851" s="6">
        <v>87</v>
      </c>
      <c r="J851" s="16" t="s">
        <v>59</v>
      </c>
      <c r="K851" s="16" t="s">
        <v>59</v>
      </c>
      <c r="L851" s="16" t="s">
        <v>59</v>
      </c>
      <c r="M851" s="16" t="s">
        <v>59</v>
      </c>
      <c r="N851" s="16" t="s">
        <v>59</v>
      </c>
      <c r="O851" s="16" t="s">
        <v>59</v>
      </c>
      <c r="P851" s="16" t="s">
        <v>59</v>
      </c>
      <c r="Q851" s="16" t="s">
        <v>59</v>
      </c>
      <c r="R851" s="16" t="s">
        <v>59</v>
      </c>
      <c r="S851" s="16" t="s">
        <v>59</v>
      </c>
      <c r="T851" s="16" t="s">
        <v>59</v>
      </c>
      <c r="U851" s="16" t="s">
        <v>59</v>
      </c>
    </row>
    <row r="852" spans="1:21" x14ac:dyDescent="0.2">
      <c r="A852" s="2" t="s">
        <v>240</v>
      </c>
      <c r="B852" s="2">
        <v>123</v>
      </c>
      <c r="C852" s="2">
        <v>109</v>
      </c>
      <c r="D852" s="2">
        <v>101</v>
      </c>
      <c r="E852" s="2">
        <v>109</v>
      </c>
      <c r="F852" s="2">
        <v>115</v>
      </c>
      <c r="G852" s="2">
        <v>83</v>
      </c>
      <c r="H852" s="2">
        <v>71</v>
      </c>
      <c r="I852" s="2">
        <v>75</v>
      </c>
      <c r="J852" s="15" t="s">
        <v>59</v>
      </c>
      <c r="K852" s="15" t="s">
        <v>59</v>
      </c>
      <c r="L852" s="15" t="s">
        <v>59</v>
      </c>
      <c r="M852" s="15" t="s">
        <v>59</v>
      </c>
      <c r="N852" s="15" t="s">
        <v>59</v>
      </c>
      <c r="O852" s="15" t="s">
        <v>59</v>
      </c>
      <c r="P852" s="15" t="s">
        <v>59</v>
      </c>
      <c r="Q852" s="15" t="s">
        <v>59</v>
      </c>
      <c r="R852" s="15" t="s">
        <v>59</v>
      </c>
      <c r="S852" s="15" t="s">
        <v>59</v>
      </c>
      <c r="T852" s="15" t="s">
        <v>59</v>
      </c>
      <c r="U852" s="15" t="s">
        <v>59</v>
      </c>
    </row>
    <row r="853" spans="1:21" x14ac:dyDescent="0.2">
      <c r="A853" s="6" t="s">
        <v>241</v>
      </c>
      <c r="B853" s="6">
        <v>110</v>
      </c>
      <c r="C853" s="6">
        <v>99</v>
      </c>
      <c r="D853" s="6">
        <v>92</v>
      </c>
      <c r="E853" s="6">
        <v>101</v>
      </c>
      <c r="F853" s="6">
        <v>103</v>
      </c>
      <c r="G853" s="6">
        <v>76</v>
      </c>
      <c r="H853" s="6">
        <v>61</v>
      </c>
      <c r="I853" s="6">
        <v>67</v>
      </c>
      <c r="J853" s="16" t="s">
        <v>59</v>
      </c>
      <c r="K853" s="16" t="s">
        <v>59</v>
      </c>
      <c r="L853" s="16" t="s">
        <v>59</v>
      </c>
      <c r="M853" s="16" t="s">
        <v>59</v>
      </c>
      <c r="N853" s="16" t="s">
        <v>59</v>
      </c>
      <c r="O853" s="16" t="s">
        <v>59</v>
      </c>
      <c r="P853" s="16" t="s">
        <v>59</v>
      </c>
      <c r="Q853" s="16" t="s">
        <v>59</v>
      </c>
      <c r="R853" s="16" t="s">
        <v>59</v>
      </c>
      <c r="S853" s="16" t="s">
        <v>59</v>
      </c>
      <c r="T853" s="16" t="s">
        <v>59</v>
      </c>
      <c r="U853" s="16" t="s">
        <v>59</v>
      </c>
    </row>
    <row r="854" spans="1:21" x14ac:dyDescent="0.2">
      <c r="A854" s="2" t="s">
        <v>242</v>
      </c>
      <c r="B854" s="2">
        <v>618</v>
      </c>
      <c r="C854" s="2">
        <v>531</v>
      </c>
      <c r="D854" s="2">
        <v>524</v>
      </c>
      <c r="E854" s="2">
        <v>575</v>
      </c>
      <c r="F854" s="2">
        <v>623</v>
      </c>
      <c r="G854" s="2">
        <v>531</v>
      </c>
      <c r="H854" s="2">
        <v>384</v>
      </c>
      <c r="I854" s="2">
        <v>435</v>
      </c>
      <c r="J854" s="15" t="s">
        <v>59</v>
      </c>
      <c r="K854" s="15" t="s">
        <v>59</v>
      </c>
      <c r="L854" s="15" t="s">
        <v>59</v>
      </c>
      <c r="M854" s="15" t="s">
        <v>59</v>
      </c>
      <c r="N854" s="15" t="s">
        <v>59</v>
      </c>
      <c r="O854" s="15" t="s">
        <v>59</v>
      </c>
      <c r="P854" s="15" t="s">
        <v>59</v>
      </c>
      <c r="Q854" s="15" t="s">
        <v>59</v>
      </c>
      <c r="R854" s="15" t="s">
        <v>59</v>
      </c>
      <c r="S854" s="15" t="s">
        <v>59</v>
      </c>
      <c r="T854" s="15" t="s">
        <v>59</v>
      </c>
      <c r="U854" s="15" t="s">
        <v>59</v>
      </c>
    </row>
    <row r="855" spans="1:21" x14ac:dyDescent="0.2">
      <c r="A855" s="6" t="s">
        <v>243</v>
      </c>
      <c r="B855" s="22">
        <v>12168</v>
      </c>
      <c r="C855" s="22">
        <v>11899</v>
      </c>
      <c r="D855" s="22">
        <v>12184</v>
      </c>
      <c r="E855" s="22">
        <v>11971</v>
      </c>
      <c r="F855" s="22">
        <v>11095</v>
      </c>
      <c r="G855" s="22">
        <v>10771</v>
      </c>
      <c r="H855" s="22">
        <v>9751</v>
      </c>
      <c r="I855" s="22">
        <v>9429</v>
      </c>
      <c r="J855" s="22">
        <v>9059</v>
      </c>
      <c r="K855" s="22">
        <v>3007</v>
      </c>
      <c r="L855" s="22">
        <v>12432</v>
      </c>
      <c r="M855" s="22">
        <v>11339</v>
      </c>
      <c r="N855" s="22">
        <v>12196</v>
      </c>
      <c r="O855" s="22">
        <v>12168</v>
      </c>
      <c r="P855" s="22">
        <v>12037</v>
      </c>
      <c r="Q855" s="22">
        <v>11988</v>
      </c>
      <c r="R855" s="22">
        <v>11878</v>
      </c>
      <c r="S855" s="22">
        <v>11899</v>
      </c>
      <c r="T855" s="22">
        <v>11904</v>
      </c>
      <c r="U855" s="22">
        <v>11938</v>
      </c>
    </row>
    <row r="856" spans="1:2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2">
      <c r="A857" s="6" t="s">
        <v>244</v>
      </c>
      <c r="B857" s="6" t="s">
        <v>1</v>
      </c>
      <c r="C857" s="6" t="s">
        <v>1</v>
      </c>
      <c r="D857" s="6" t="s">
        <v>1</v>
      </c>
      <c r="E857" s="6" t="s">
        <v>1</v>
      </c>
      <c r="F857" s="6" t="s">
        <v>1</v>
      </c>
      <c r="G857" s="6" t="s">
        <v>1</v>
      </c>
      <c r="H857" s="6" t="s">
        <v>1</v>
      </c>
      <c r="I857" s="6" t="s">
        <v>1</v>
      </c>
      <c r="J857" s="6" t="s">
        <v>1</v>
      </c>
      <c r="K857" s="6" t="s">
        <v>1</v>
      </c>
      <c r="L857" s="6" t="s">
        <v>1</v>
      </c>
      <c r="M857" s="6" t="s">
        <v>1</v>
      </c>
      <c r="N857" s="6" t="s">
        <v>1</v>
      </c>
      <c r="O857" s="6" t="s">
        <v>1</v>
      </c>
      <c r="P857" s="6" t="s">
        <v>1</v>
      </c>
      <c r="Q857" s="6" t="s">
        <v>1</v>
      </c>
      <c r="R857" s="6" t="s">
        <v>1</v>
      </c>
      <c r="S857" s="6" t="s">
        <v>1</v>
      </c>
      <c r="T857" s="6" t="s">
        <v>1</v>
      </c>
      <c r="U857" s="6" t="s">
        <v>1</v>
      </c>
    </row>
    <row r="858" spans="1:21" x14ac:dyDescent="0.2">
      <c r="A858" s="2" t="s">
        <v>245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2">
      <c r="A859" s="7" t="s">
        <v>246</v>
      </c>
      <c r="B859" s="7" t="s">
        <v>1</v>
      </c>
      <c r="C859" s="7" t="s">
        <v>1</v>
      </c>
      <c r="D859" s="7" t="s">
        <v>1</v>
      </c>
      <c r="E859" s="7" t="s">
        <v>1</v>
      </c>
      <c r="F859" s="7" t="s">
        <v>1</v>
      </c>
      <c r="G859" s="7" t="s">
        <v>1</v>
      </c>
      <c r="H859" s="7" t="s">
        <v>1</v>
      </c>
      <c r="I859" s="7" t="s">
        <v>1</v>
      </c>
      <c r="J859" s="7" t="s">
        <v>1</v>
      </c>
      <c r="K859" s="7" t="s">
        <v>1</v>
      </c>
      <c r="L859" s="7" t="s">
        <v>1</v>
      </c>
      <c r="M859" s="7" t="s">
        <v>1</v>
      </c>
      <c r="N859" s="7" t="s">
        <v>1</v>
      </c>
      <c r="O859" s="7" t="s">
        <v>1</v>
      </c>
      <c r="P859" s="7" t="s">
        <v>1</v>
      </c>
      <c r="Q859" s="7" t="s">
        <v>1</v>
      </c>
      <c r="R859" s="7" t="s">
        <v>1</v>
      </c>
      <c r="S859" s="7" t="s">
        <v>1</v>
      </c>
      <c r="T859" s="7" t="s">
        <v>1</v>
      </c>
      <c r="U859" s="7" t="s">
        <v>1</v>
      </c>
    </row>
    <row r="860" spans="1:21" x14ac:dyDescent="0.2">
      <c r="A860" s="2" t="s">
        <v>247</v>
      </c>
      <c r="B860" s="10">
        <v>1486</v>
      </c>
      <c r="C860" s="10">
        <v>1597</v>
      </c>
      <c r="D860" s="10">
        <v>1325</v>
      </c>
      <c r="E860" s="10">
        <v>1575</v>
      </c>
      <c r="F860" s="2">
        <v>904</v>
      </c>
      <c r="G860" s="10">
        <v>1294</v>
      </c>
      <c r="H860" s="10">
        <v>1542</v>
      </c>
      <c r="I860" s="10">
        <v>1340</v>
      </c>
      <c r="J860" s="10">
        <v>1018</v>
      </c>
      <c r="K860" s="10">
        <v>1293</v>
      </c>
      <c r="L860" s="2">
        <v>396</v>
      </c>
      <c r="M860" s="2">
        <v>375</v>
      </c>
      <c r="N860" s="2">
        <v>253</v>
      </c>
      <c r="O860" s="2">
        <v>423</v>
      </c>
      <c r="P860" s="2">
        <v>382</v>
      </c>
      <c r="Q860" s="2">
        <v>367</v>
      </c>
      <c r="R860" s="2">
        <v>314</v>
      </c>
      <c r="S860" s="2">
        <v>463</v>
      </c>
      <c r="T860" s="2">
        <v>416</v>
      </c>
      <c r="U860" s="2">
        <v>418</v>
      </c>
    </row>
    <row r="861" spans="1:21" x14ac:dyDescent="0.2">
      <c r="A861" s="7" t="s">
        <v>248</v>
      </c>
      <c r="B861" s="7">
        <v>175</v>
      </c>
      <c r="C861" s="7">
        <v>153</v>
      </c>
      <c r="D861" s="7">
        <v>146</v>
      </c>
      <c r="E861" s="7">
        <v>164</v>
      </c>
      <c r="F861" s="7">
        <v>146</v>
      </c>
      <c r="G861" s="7">
        <v>112</v>
      </c>
      <c r="H861" s="7">
        <v>137</v>
      </c>
      <c r="I861" s="7">
        <v>253</v>
      </c>
      <c r="J861" s="7">
        <v>310</v>
      </c>
      <c r="K861" s="7">
        <v>322</v>
      </c>
      <c r="L861" s="7">
        <v>50</v>
      </c>
      <c r="M861" s="7">
        <v>44</v>
      </c>
      <c r="N861" s="7">
        <v>45</v>
      </c>
      <c r="O861" s="7">
        <v>55</v>
      </c>
      <c r="P861" s="7">
        <v>44</v>
      </c>
      <c r="Q861" s="7">
        <v>41</v>
      </c>
      <c r="R861" s="7">
        <v>35</v>
      </c>
      <c r="S861" s="7">
        <v>49</v>
      </c>
      <c r="T861" s="7">
        <v>37</v>
      </c>
      <c r="U861" s="7">
        <v>38</v>
      </c>
    </row>
    <row r="862" spans="1:21" x14ac:dyDescent="0.2">
      <c r="A862" s="2" t="s">
        <v>249</v>
      </c>
      <c r="B862" s="2">
        <v>93</v>
      </c>
      <c r="C862" s="2">
        <v>79</v>
      </c>
      <c r="D862" s="2">
        <v>78</v>
      </c>
      <c r="E862" s="2">
        <v>88</v>
      </c>
      <c r="F862" s="15" t="s">
        <v>59</v>
      </c>
      <c r="G862" s="2">
        <v>60</v>
      </c>
      <c r="H862" s="2">
        <v>100</v>
      </c>
      <c r="I862" s="2">
        <v>243</v>
      </c>
      <c r="J862" s="2">
        <v>298</v>
      </c>
      <c r="K862" s="2">
        <v>309</v>
      </c>
      <c r="L862" s="15" t="s">
        <v>59</v>
      </c>
      <c r="M862" s="15" t="s">
        <v>59</v>
      </c>
      <c r="N862" s="15" t="s">
        <v>59</v>
      </c>
      <c r="O862" s="15" t="s">
        <v>59</v>
      </c>
      <c r="P862" s="15" t="s">
        <v>59</v>
      </c>
      <c r="Q862" s="15" t="s">
        <v>59</v>
      </c>
      <c r="R862" s="15" t="s">
        <v>59</v>
      </c>
      <c r="S862" s="15" t="s">
        <v>59</v>
      </c>
      <c r="T862" s="15" t="s">
        <v>59</v>
      </c>
      <c r="U862" s="15" t="s">
        <v>59</v>
      </c>
    </row>
    <row r="863" spans="1:21" x14ac:dyDescent="0.2">
      <c r="A863" s="6" t="s">
        <v>303</v>
      </c>
      <c r="B863" s="6">
        <v>82</v>
      </c>
      <c r="C863" s="6">
        <v>74</v>
      </c>
      <c r="D863" s="6">
        <v>68</v>
      </c>
      <c r="E863" s="6">
        <v>76</v>
      </c>
      <c r="F863" s="16" t="s">
        <v>59</v>
      </c>
      <c r="G863" s="6">
        <v>52</v>
      </c>
      <c r="H863" s="6">
        <v>37</v>
      </c>
      <c r="I863" s="6">
        <v>10</v>
      </c>
      <c r="J863" s="6">
        <v>12</v>
      </c>
      <c r="K863" s="6">
        <v>13</v>
      </c>
      <c r="L863" s="16" t="s">
        <v>59</v>
      </c>
      <c r="M863" s="16" t="s">
        <v>59</v>
      </c>
      <c r="N863" s="16" t="s">
        <v>59</v>
      </c>
      <c r="O863" s="16" t="s">
        <v>59</v>
      </c>
      <c r="P863" s="16" t="s">
        <v>59</v>
      </c>
      <c r="Q863" s="16" t="s">
        <v>59</v>
      </c>
      <c r="R863" s="16" t="s">
        <v>59</v>
      </c>
      <c r="S863" s="16" t="s">
        <v>59</v>
      </c>
      <c r="T863" s="16" t="s">
        <v>59</v>
      </c>
      <c r="U863" s="16" t="s">
        <v>59</v>
      </c>
    </row>
    <row r="864" spans="1:21" x14ac:dyDescent="0.2">
      <c r="A864" s="11" t="s">
        <v>250</v>
      </c>
      <c r="B864" s="11">
        <v>-30</v>
      </c>
      <c r="C864" s="11">
        <v>-290</v>
      </c>
      <c r="D864" s="11">
        <v>-55</v>
      </c>
      <c r="E864" s="11">
        <v>-200</v>
      </c>
      <c r="F864" s="11">
        <v>-65</v>
      </c>
      <c r="G864" s="11">
        <v>-232</v>
      </c>
      <c r="H864" s="11">
        <v>-11</v>
      </c>
      <c r="I864" s="11">
        <v>634</v>
      </c>
      <c r="J864" s="11">
        <v>28</v>
      </c>
      <c r="K864" s="11">
        <v>-102</v>
      </c>
      <c r="L864" s="11">
        <v>163</v>
      </c>
      <c r="M864" s="11">
        <v>4</v>
      </c>
      <c r="N864" s="11">
        <v>8</v>
      </c>
      <c r="O864" s="11">
        <v>-35</v>
      </c>
      <c r="P864" s="11">
        <v>-7</v>
      </c>
      <c r="Q864" s="11">
        <v>-9</v>
      </c>
      <c r="R864" s="11">
        <v>21</v>
      </c>
      <c r="S864" s="11">
        <v>-197</v>
      </c>
      <c r="T864" s="11">
        <v>-20</v>
      </c>
      <c r="U864" s="11">
        <v>-69</v>
      </c>
    </row>
    <row r="865" spans="1:21" x14ac:dyDescent="0.2">
      <c r="A865" s="6" t="s">
        <v>251</v>
      </c>
      <c r="B865" s="13">
        <v>-30</v>
      </c>
      <c r="C865" s="13">
        <v>-290</v>
      </c>
      <c r="D865" s="13">
        <v>-55</v>
      </c>
      <c r="E865" s="13">
        <v>-200</v>
      </c>
      <c r="F865" s="13">
        <v>-65</v>
      </c>
      <c r="G865" s="13">
        <v>-232</v>
      </c>
      <c r="H865" s="13">
        <v>-11</v>
      </c>
      <c r="I865" s="6">
        <v>634</v>
      </c>
      <c r="J865" s="6">
        <v>28</v>
      </c>
      <c r="K865" s="13">
        <v>-102</v>
      </c>
      <c r="L865" s="6">
        <v>163</v>
      </c>
      <c r="M865" s="6">
        <v>4</v>
      </c>
      <c r="N865" s="6">
        <v>8</v>
      </c>
      <c r="O865" s="13">
        <v>-35</v>
      </c>
      <c r="P865" s="13">
        <v>-7</v>
      </c>
      <c r="Q865" s="13">
        <v>-9</v>
      </c>
      <c r="R865" s="6">
        <v>21</v>
      </c>
      <c r="S865" s="13">
        <v>-197</v>
      </c>
      <c r="T865" s="13">
        <v>-20</v>
      </c>
      <c r="U865" s="13">
        <v>-69</v>
      </c>
    </row>
    <row r="866" spans="1:21" x14ac:dyDescent="0.2">
      <c r="A866" s="2" t="s">
        <v>252</v>
      </c>
      <c r="B866" s="2">
        <v>68</v>
      </c>
      <c r="C866" s="2">
        <v>72</v>
      </c>
      <c r="D866" s="2">
        <v>56</v>
      </c>
      <c r="E866" s="9">
        <v>-27</v>
      </c>
      <c r="F866" s="2">
        <v>155</v>
      </c>
      <c r="G866" s="2">
        <v>74</v>
      </c>
      <c r="H866" s="9">
        <v>-515</v>
      </c>
      <c r="I866" s="27">
        <v>-1070</v>
      </c>
      <c r="J866" s="9">
        <v>-109</v>
      </c>
      <c r="K866" s="9">
        <v>-418</v>
      </c>
      <c r="L866" s="2">
        <v>0</v>
      </c>
      <c r="M866" s="2">
        <v>5</v>
      </c>
      <c r="N866" s="2">
        <v>15</v>
      </c>
      <c r="O866" s="2">
        <v>26</v>
      </c>
      <c r="P866" s="2">
        <v>1</v>
      </c>
      <c r="Q866" s="2">
        <v>1</v>
      </c>
      <c r="R866" s="2">
        <v>40</v>
      </c>
      <c r="S866" s="2">
        <v>64</v>
      </c>
      <c r="T866" s="9">
        <v>-13</v>
      </c>
      <c r="U866" s="9">
        <v>-24</v>
      </c>
    </row>
    <row r="867" spans="1:21" x14ac:dyDescent="0.2">
      <c r="A867" s="6" t="s">
        <v>253</v>
      </c>
      <c r="B867" s="18">
        <v>1699</v>
      </c>
      <c r="C867" s="18">
        <v>1532</v>
      </c>
      <c r="D867" s="18">
        <v>1472</v>
      </c>
      <c r="E867" s="18">
        <v>1512</v>
      </c>
      <c r="F867" s="18">
        <v>1140</v>
      </c>
      <c r="G867" s="18">
        <v>1248</v>
      </c>
      <c r="H867" s="18">
        <v>1153</v>
      </c>
      <c r="I867" s="18">
        <v>1157</v>
      </c>
      <c r="J867" s="18">
        <v>1247</v>
      </c>
      <c r="K867" s="18">
        <v>1095</v>
      </c>
      <c r="L867" s="6">
        <v>609</v>
      </c>
      <c r="M867" s="6">
        <v>428</v>
      </c>
      <c r="N867" s="6">
        <v>321</v>
      </c>
      <c r="O867" s="6">
        <v>469</v>
      </c>
      <c r="P867" s="6">
        <v>420</v>
      </c>
      <c r="Q867" s="6">
        <v>400</v>
      </c>
      <c r="R867" s="6">
        <v>410</v>
      </c>
      <c r="S867" s="6">
        <v>379</v>
      </c>
      <c r="T867" s="6">
        <v>420</v>
      </c>
      <c r="U867" s="6">
        <v>363</v>
      </c>
    </row>
    <row r="868" spans="1:21" x14ac:dyDescent="0.2">
      <c r="A868" s="11" t="s">
        <v>254</v>
      </c>
      <c r="B868" s="11">
        <v>-10</v>
      </c>
      <c r="C868" s="11">
        <v>71</v>
      </c>
      <c r="D868" s="11">
        <v>-45</v>
      </c>
      <c r="E868" s="11">
        <v>194</v>
      </c>
      <c r="F868" s="11">
        <v>165</v>
      </c>
      <c r="G868" s="11">
        <v>67</v>
      </c>
      <c r="H868" s="11">
        <v>23</v>
      </c>
      <c r="I868" s="11">
        <v>-127</v>
      </c>
      <c r="J868" s="11">
        <v>1</v>
      </c>
      <c r="K868" s="11">
        <v>118</v>
      </c>
      <c r="L868" s="11">
        <v>-66</v>
      </c>
      <c r="M868" s="11">
        <v>18</v>
      </c>
      <c r="N868" s="11">
        <v>83</v>
      </c>
      <c r="O868" s="11">
        <v>44</v>
      </c>
      <c r="P868" s="11">
        <v>51</v>
      </c>
      <c r="Q868" s="11">
        <v>-58</v>
      </c>
      <c r="R868" s="11">
        <v>-47</v>
      </c>
      <c r="S868" s="11">
        <v>69</v>
      </c>
      <c r="T868" s="11">
        <v>57</v>
      </c>
      <c r="U868" s="11">
        <v>-34</v>
      </c>
    </row>
    <row r="869" spans="1:21" x14ac:dyDescent="0.2">
      <c r="A869" s="6" t="s">
        <v>255</v>
      </c>
      <c r="B869" s="13">
        <v>-53</v>
      </c>
      <c r="C869" s="13">
        <v>-89</v>
      </c>
      <c r="D869" s="13">
        <v>-84</v>
      </c>
      <c r="E869" s="13">
        <v>-46</v>
      </c>
      <c r="F869" s="6">
        <v>62</v>
      </c>
      <c r="G869" s="13">
        <v>-56</v>
      </c>
      <c r="H869" s="13">
        <v>-66</v>
      </c>
      <c r="I869" s="13">
        <v>-19</v>
      </c>
      <c r="J869" s="13">
        <v>-23</v>
      </c>
      <c r="K869" s="13">
        <v>-35</v>
      </c>
      <c r="L869" s="6">
        <v>17</v>
      </c>
      <c r="M869" s="13">
        <v>-37</v>
      </c>
      <c r="N869" s="6">
        <v>71</v>
      </c>
      <c r="O869" s="13">
        <v>-81</v>
      </c>
      <c r="P869" s="6">
        <v>13</v>
      </c>
      <c r="Q869" s="13">
        <v>-29</v>
      </c>
      <c r="R869" s="6">
        <v>44</v>
      </c>
      <c r="S869" s="13">
        <v>-76</v>
      </c>
      <c r="T869" s="6">
        <v>8</v>
      </c>
      <c r="U869" s="13">
        <v>-44</v>
      </c>
    </row>
    <row r="870" spans="1:21" x14ac:dyDescent="0.2">
      <c r="A870" s="2" t="s">
        <v>112</v>
      </c>
      <c r="B870" s="15" t="s">
        <v>59</v>
      </c>
      <c r="C870" s="15" t="s">
        <v>59</v>
      </c>
      <c r="D870" s="15" t="s">
        <v>59</v>
      </c>
      <c r="E870" s="15" t="s">
        <v>59</v>
      </c>
      <c r="F870" s="15" t="s">
        <v>59</v>
      </c>
      <c r="G870" s="15" t="s">
        <v>59</v>
      </c>
      <c r="H870" s="15" t="s">
        <v>59</v>
      </c>
      <c r="I870" s="2">
        <v>3</v>
      </c>
      <c r="J870" s="2">
        <v>1</v>
      </c>
      <c r="K870" s="9">
        <v>-3</v>
      </c>
      <c r="L870" s="15" t="s">
        <v>59</v>
      </c>
      <c r="M870" s="15" t="s">
        <v>59</v>
      </c>
      <c r="N870" s="15" t="s">
        <v>59</v>
      </c>
      <c r="O870" s="15" t="s">
        <v>59</v>
      </c>
      <c r="P870" s="15" t="s">
        <v>59</v>
      </c>
      <c r="Q870" s="15" t="s">
        <v>59</v>
      </c>
      <c r="R870" s="15" t="s">
        <v>59</v>
      </c>
      <c r="S870" s="15" t="s">
        <v>59</v>
      </c>
      <c r="T870" s="15" t="s">
        <v>59</v>
      </c>
      <c r="U870" s="15" t="s">
        <v>59</v>
      </c>
    </row>
    <row r="871" spans="1:21" x14ac:dyDescent="0.2">
      <c r="A871" s="6" t="s">
        <v>116</v>
      </c>
      <c r="B871" s="6">
        <v>8</v>
      </c>
      <c r="C871" s="13">
        <v>-30</v>
      </c>
      <c r="D871" s="13">
        <v>-39</v>
      </c>
      <c r="E871" s="6">
        <v>122</v>
      </c>
      <c r="F871" s="6">
        <v>128</v>
      </c>
      <c r="G871" s="13">
        <v>-36</v>
      </c>
      <c r="H871" s="13">
        <v>-68</v>
      </c>
      <c r="I871" s="13">
        <v>-173</v>
      </c>
      <c r="J871" s="13">
        <v>-40</v>
      </c>
      <c r="K871" s="6">
        <v>93</v>
      </c>
      <c r="L871" s="6">
        <v>0</v>
      </c>
      <c r="M871" s="13">
        <v>-10</v>
      </c>
      <c r="N871" s="13">
        <v>-32</v>
      </c>
      <c r="O871" s="6">
        <v>54</v>
      </c>
      <c r="P871" s="6">
        <v>32</v>
      </c>
      <c r="Q871" s="13">
        <v>-12</v>
      </c>
      <c r="R871" s="13">
        <v>-66</v>
      </c>
      <c r="S871" s="6">
        <v>22</v>
      </c>
      <c r="T871" s="6">
        <v>55</v>
      </c>
      <c r="U871" s="13">
        <v>-6</v>
      </c>
    </row>
    <row r="872" spans="1:21" x14ac:dyDescent="0.2">
      <c r="A872" s="2" t="s">
        <v>358</v>
      </c>
      <c r="B872" s="9">
        <v>-29</v>
      </c>
      <c r="C872" s="2">
        <v>43</v>
      </c>
      <c r="D872" s="2">
        <v>17</v>
      </c>
      <c r="E872" s="9">
        <v>-41</v>
      </c>
      <c r="F872" s="9">
        <v>-110</v>
      </c>
      <c r="G872" s="2">
        <v>23</v>
      </c>
      <c r="H872" s="2">
        <v>65</v>
      </c>
      <c r="I872" s="9">
        <v>-55</v>
      </c>
      <c r="J872" s="2">
        <v>20</v>
      </c>
      <c r="K872" s="2">
        <v>15</v>
      </c>
      <c r="L872" s="9">
        <v>-52</v>
      </c>
      <c r="M872" s="2">
        <v>18</v>
      </c>
      <c r="N872" s="2">
        <v>3</v>
      </c>
      <c r="O872" s="2">
        <v>38</v>
      </c>
      <c r="P872" s="9">
        <v>-21</v>
      </c>
      <c r="Q872" s="9">
        <v>-20</v>
      </c>
      <c r="R872" s="9">
        <v>-26</v>
      </c>
      <c r="S872" s="2">
        <v>47</v>
      </c>
      <c r="T872" s="9">
        <v>-23</v>
      </c>
      <c r="U872" s="9">
        <v>-9</v>
      </c>
    </row>
    <row r="873" spans="1:21" x14ac:dyDescent="0.2">
      <c r="A873" s="6" t="s">
        <v>257</v>
      </c>
      <c r="B873" s="6">
        <v>64</v>
      </c>
      <c r="C873" s="6">
        <v>147</v>
      </c>
      <c r="D873" s="6">
        <v>61</v>
      </c>
      <c r="E873" s="6">
        <v>159</v>
      </c>
      <c r="F873" s="6">
        <v>85</v>
      </c>
      <c r="G873" s="6">
        <v>136</v>
      </c>
      <c r="H873" s="6">
        <v>92</v>
      </c>
      <c r="I873" s="6">
        <v>117</v>
      </c>
      <c r="J873" s="6">
        <v>43</v>
      </c>
      <c r="K873" s="6">
        <v>48</v>
      </c>
      <c r="L873" s="13">
        <v>-31</v>
      </c>
      <c r="M873" s="6">
        <v>47</v>
      </c>
      <c r="N873" s="6">
        <v>41</v>
      </c>
      <c r="O873" s="6">
        <v>33</v>
      </c>
      <c r="P873" s="6">
        <v>27</v>
      </c>
      <c r="Q873" s="6">
        <v>3</v>
      </c>
      <c r="R873" s="6">
        <v>1</v>
      </c>
      <c r="S873" s="6">
        <v>76</v>
      </c>
      <c r="T873" s="6">
        <v>17</v>
      </c>
      <c r="U873" s="6">
        <v>25</v>
      </c>
    </row>
    <row r="874" spans="1:21" x14ac:dyDescent="0.2">
      <c r="A874" s="11" t="s">
        <v>258</v>
      </c>
      <c r="B874" s="12">
        <v>1689</v>
      </c>
      <c r="C874" s="12">
        <v>1603</v>
      </c>
      <c r="D874" s="12">
        <v>1427</v>
      </c>
      <c r="E874" s="12">
        <v>1706</v>
      </c>
      <c r="F874" s="12">
        <v>1305</v>
      </c>
      <c r="G874" s="12">
        <v>1315</v>
      </c>
      <c r="H874" s="12">
        <v>1176</v>
      </c>
      <c r="I874" s="12">
        <v>1030</v>
      </c>
      <c r="J874" s="12">
        <v>1248</v>
      </c>
      <c r="K874" s="12">
        <v>1213</v>
      </c>
      <c r="L874" s="11">
        <v>543</v>
      </c>
      <c r="M874" s="11">
        <v>446</v>
      </c>
      <c r="N874" s="11">
        <v>404</v>
      </c>
      <c r="O874" s="11">
        <v>513</v>
      </c>
      <c r="P874" s="11">
        <v>471</v>
      </c>
      <c r="Q874" s="11">
        <v>342</v>
      </c>
      <c r="R874" s="11">
        <v>363</v>
      </c>
      <c r="S874" s="11">
        <v>448</v>
      </c>
      <c r="T874" s="11">
        <v>477</v>
      </c>
      <c r="U874" s="11">
        <v>329</v>
      </c>
    </row>
    <row r="875" spans="1:21" x14ac:dyDescent="0.2">
      <c r="A875" s="6" t="s">
        <v>35</v>
      </c>
      <c r="B875" s="6">
        <v>5.36</v>
      </c>
      <c r="C875" s="6">
        <v>12.33</v>
      </c>
      <c r="D875" s="13">
        <v>-16.350000000000001</v>
      </c>
      <c r="E875" s="6">
        <v>30.73</v>
      </c>
      <c r="F875" s="13">
        <v>-0.76</v>
      </c>
      <c r="G875" s="6">
        <v>11.82</v>
      </c>
      <c r="H875" s="6">
        <v>14.17</v>
      </c>
      <c r="I875" s="13">
        <v>-17.47</v>
      </c>
      <c r="J875" s="6">
        <v>2.89</v>
      </c>
      <c r="K875" s="13">
        <v>-40.799999999999997</v>
      </c>
      <c r="L875" s="6">
        <v>15.29</v>
      </c>
      <c r="M875" s="6">
        <v>30.41</v>
      </c>
      <c r="N875" s="6">
        <v>11.29</v>
      </c>
      <c r="O875" s="6">
        <v>14.51</v>
      </c>
      <c r="P875" s="13">
        <v>-1.26</v>
      </c>
      <c r="Q875" s="6">
        <v>3.95</v>
      </c>
      <c r="R875" s="6">
        <v>4.01</v>
      </c>
      <c r="S875" s="13">
        <v>-0.88</v>
      </c>
      <c r="T875" s="6">
        <v>5.3</v>
      </c>
      <c r="U875" s="6">
        <v>22.3</v>
      </c>
    </row>
    <row r="876" spans="1:21" x14ac:dyDescent="0.2">
      <c r="A876" s="11" t="s">
        <v>259</v>
      </c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</row>
    <row r="877" spans="1:21" x14ac:dyDescent="0.2">
      <c r="A877" s="7" t="s">
        <v>138</v>
      </c>
      <c r="B877" s="7">
        <v>-257</v>
      </c>
      <c r="C877" s="7">
        <v>-285</v>
      </c>
      <c r="D877" s="7">
        <v>-279</v>
      </c>
      <c r="E877" s="7">
        <v>-230</v>
      </c>
      <c r="F877" s="7">
        <v>-160</v>
      </c>
      <c r="G877" s="7">
        <v>-196</v>
      </c>
      <c r="H877" s="7">
        <v>-234</v>
      </c>
      <c r="I877" s="7">
        <v>-318</v>
      </c>
      <c r="J877" s="7">
        <v>-427</v>
      </c>
      <c r="K877" s="7">
        <v>-461</v>
      </c>
      <c r="L877" s="7">
        <v>-94</v>
      </c>
      <c r="M877" s="7">
        <v>-71</v>
      </c>
      <c r="N877" s="7">
        <v>-71</v>
      </c>
      <c r="O877" s="7">
        <v>-106</v>
      </c>
      <c r="P877" s="7">
        <v>-52</v>
      </c>
      <c r="Q877" s="7">
        <v>-50</v>
      </c>
      <c r="R877" s="7">
        <v>-49</v>
      </c>
      <c r="S877" s="7">
        <v>-106</v>
      </c>
      <c r="T877" s="7">
        <v>-57</v>
      </c>
      <c r="U877" s="7">
        <v>-60</v>
      </c>
    </row>
    <row r="878" spans="1:21" x14ac:dyDescent="0.2">
      <c r="A878" s="2" t="s">
        <v>260</v>
      </c>
      <c r="B878" s="9">
        <v>-257</v>
      </c>
      <c r="C878" s="9">
        <v>-285</v>
      </c>
      <c r="D878" s="9">
        <v>-279</v>
      </c>
      <c r="E878" s="9">
        <v>-230</v>
      </c>
      <c r="F878" s="9">
        <v>-160</v>
      </c>
      <c r="G878" s="9">
        <v>-196</v>
      </c>
      <c r="H878" s="9">
        <v>-234</v>
      </c>
      <c r="I878" s="9">
        <v>-318</v>
      </c>
      <c r="J878" s="9">
        <v>-427</v>
      </c>
      <c r="K878" s="9">
        <v>-461</v>
      </c>
      <c r="L878" s="9">
        <v>-94</v>
      </c>
      <c r="M878" s="9">
        <v>-71</v>
      </c>
      <c r="N878" s="9">
        <v>-71</v>
      </c>
      <c r="O878" s="9">
        <v>-106</v>
      </c>
      <c r="P878" s="9">
        <v>-52</v>
      </c>
      <c r="Q878" s="9">
        <v>-50</v>
      </c>
      <c r="R878" s="9">
        <v>-49</v>
      </c>
      <c r="S878" s="9">
        <v>-106</v>
      </c>
      <c r="T878" s="9">
        <v>-57</v>
      </c>
      <c r="U878" s="9">
        <v>-60</v>
      </c>
    </row>
    <row r="879" spans="1:21" x14ac:dyDescent="0.2">
      <c r="A879" s="6" t="s">
        <v>324</v>
      </c>
      <c r="B879" s="13">
        <v>-174</v>
      </c>
      <c r="C879" s="6">
        <v>0</v>
      </c>
      <c r="D879" s="6">
        <v>0</v>
      </c>
      <c r="E879" s="6">
        <v>0</v>
      </c>
      <c r="F879" s="13">
        <v>-408</v>
      </c>
      <c r="G879" s="6">
        <v>0</v>
      </c>
      <c r="H879" s="13">
        <v>-66</v>
      </c>
      <c r="I879" s="6">
        <v>0</v>
      </c>
      <c r="J879" s="6">
        <v>0</v>
      </c>
      <c r="K879" s="6">
        <v>0</v>
      </c>
      <c r="L879" s="13">
        <v>-100</v>
      </c>
      <c r="M879" s="6">
        <v>0</v>
      </c>
      <c r="N879" s="6">
        <v>0</v>
      </c>
      <c r="O879" s="6">
        <v>0</v>
      </c>
      <c r="P879" s="6">
        <v>0</v>
      </c>
      <c r="Q879" s="13">
        <v>-174</v>
      </c>
      <c r="R879" s="6">
        <v>0</v>
      </c>
      <c r="S879" s="6">
        <v>0</v>
      </c>
      <c r="T879" s="6">
        <v>0</v>
      </c>
      <c r="U879" s="6">
        <v>0</v>
      </c>
    </row>
    <row r="880" spans="1:21" x14ac:dyDescent="0.2">
      <c r="A880" s="2" t="s">
        <v>261</v>
      </c>
      <c r="B880" s="2">
        <v>153</v>
      </c>
      <c r="C880" s="2">
        <v>60</v>
      </c>
      <c r="D880" s="2">
        <v>73</v>
      </c>
      <c r="E880" s="2">
        <v>85</v>
      </c>
      <c r="F880" s="2">
        <v>19</v>
      </c>
      <c r="G880" s="2">
        <v>110</v>
      </c>
      <c r="H880" s="2">
        <v>825</v>
      </c>
      <c r="I880" s="10">
        <v>1773</v>
      </c>
      <c r="J880" s="2">
        <v>370</v>
      </c>
      <c r="K880" s="2">
        <v>219</v>
      </c>
      <c r="L880" s="2">
        <v>21</v>
      </c>
      <c r="M880" s="2">
        <v>17</v>
      </c>
      <c r="N880" s="2">
        <v>15</v>
      </c>
      <c r="O880" s="2">
        <v>105</v>
      </c>
      <c r="P880" s="2">
        <v>18</v>
      </c>
      <c r="Q880" s="2">
        <v>19</v>
      </c>
      <c r="R880" s="2">
        <v>11</v>
      </c>
      <c r="S880" s="9">
        <v>-118</v>
      </c>
      <c r="T880" s="2">
        <v>26</v>
      </c>
      <c r="U880" s="2">
        <v>147</v>
      </c>
    </row>
    <row r="881" spans="1:21" x14ac:dyDescent="0.2">
      <c r="A881" s="7" t="s">
        <v>262</v>
      </c>
      <c r="B881" s="7">
        <v>-91</v>
      </c>
      <c r="C881" s="7">
        <v>121</v>
      </c>
      <c r="D881" s="7">
        <v>0</v>
      </c>
      <c r="E881" s="7">
        <v>0</v>
      </c>
      <c r="F881" s="7">
        <v>206</v>
      </c>
      <c r="G881" s="7">
        <v>0</v>
      </c>
      <c r="H881" s="7">
        <v>-200</v>
      </c>
      <c r="I881" s="7">
        <v>0</v>
      </c>
      <c r="J881" s="7">
        <v>0</v>
      </c>
      <c r="K881" s="7">
        <v>0</v>
      </c>
      <c r="L881" s="7">
        <v>0</v>
      </c>
      <c r="M881" s="7">
        <v>1</v>
      </c>
      <c r="N881" s="7">
        <v>90</v>
      </c>
      <c r="O881" s="7">
        <v>-104</v>
      </c>
      <c r="P881" s="7">
        <v>25</v>
      </c>
      <c r="Q881" s="7">
        <v>-116</v>
      </c>
      <c r="R881" s="7">
        <v>104</v>
      </c>
      <c r="S881" s="7">
        <v>121</v>
      </c>
      <c r="T881" s="7">
        <v>0</v>
      </c>
      <c r="U881" s="7">
        <v>0</v>
      </c>
    </row>
    <row r="882" spans="1:21" x14ac:dyDescent="0.2">
      <c r="A882" s="2" t="s">
        <v>263</v>
      </c>
      <c r="B882" s="2">
        <v>91</v>
      </c>
      <c r="C882" s="2">
        <v>0</v>
      </c>
      <c r="D882" s="2">
        <v>0</v>
      </c>
      <c r="E882" s="2">
        <v>0</v>
      </c>
      <c r="F882" s="2">
        <v>0</v>
      </c>
      <c r="G882" s="2">
        <v>0</v>
      </c>
      <c r="H882" s="2">
        <v>200</v>
      </c>
      <c r="I882" s="2">
        <v>0</v>
      </c>
      <c r="J882" s="2">
        <v>0</v>
      </c>
      <c r="K882" s="15" t="s">
        <v>59</v>
      </c>
      <c r="L882" s="2">
        <v>0</v>
      </c>
      <c r="M882" s="2">
        <v>0</v>
      </c>
      <c r="N882" s="2">
        <v>0</v>
      </c>
      <c r="O882" s="2">
        <v>0</v>
      </c>
      <c r="P882" s="9">
        <v>-25</v>
      </c>
      <c r="Q882" s="2">
        <v>116</v>
      </c>
      <c r="R882" s="2">
        <v>0</v>
      </c>
      <c r="S882" s="2">
        <v>0</v>
      </c>
      <c r="T882" s="2">
        <v>0</v>
      </c>
      <c r="U882" s="2">
        <v>0</v>
      </c>
    </row>
    <row r="883" spans="1:21" x14ac:dyDescent="0.2">
      <c r="A883" s="6" t="s">
        <v>264</v>
      </c>
      <c r="B883" s="6">
        <v>0</v>
      </c>
      <c r="C883" s="6">
        <v>121</v>
      </c>
      <c r="D883" s="6">
        <v>0</v>
      </c>
      <c r="E883" s="6">
        <v>0</v>
      </c>
      <c r="F883" s="6">
        <v>206</v>
      </c>
      <c r="G883" s="6">
        <v>0</v>
      </c>
      <c r="H883" s="6">
        <v>0</v>
      </c>
      <c r="I883" s="6">
        <v>0</v>
      </c>
      <c r="J883" s="6">
        <v>0</v>
      </c>
      <c r="K883" s="6">
        <v>0</v>
      </c>
      <c r="L883" s="6">
        <v>0</v>
      </c>
      <c r="M883" s="6">
        <v>1</v>
      </c>
      <c r="N883" s="6">
        <v>90</v>
      </c>
      <c r="O883" s="13">
        <v>-104</v>
      </c>
      <c r="P883" s="6">
        <v>0</v>
      </c>
      <c r="Q883" s="6">
        <v>0</v>
      </c>
      <c r="R883" s="6">
        <v>104</v>
      </c>
      <c r="S883" s="6">
        <v>121</v>
      </c>
      <c r="T883" s="6">
        <v>0</v>
      </c>
      <c r="U883" s="6">
        <v>0</v>
      </c>
    </row>
    <row r="884" spans="1:21" x14ac:dyDescent="0.2">
      <c r="A884" s="11" t="s">
        <v>252</v>
      </c>
      <c r="B884" s="11">
        <v>-53</v>
      </c>
      <c r="C884" s="11">
        <v>-3</v>
      </c>
      <c r="D884" s="11">
        <v>4</v>
      </c>
      <c r="E884" s="11">
        <v>-28</v>
      </c>
      <c r="F884" s="11">
        <v>8</v>
      </c>
      <c r="G884" s="11">
        <v>-2</v>
      </c>
      <c r="H884" s="11">
        <v>-12</v>
      </c>
      <c r="I884" s="11">
        <v>17</v>
      </c>
      <c r="J884" s="11">
        <v>53</v>
      </c>
      <c r="K884" s="11">
        <v>53</v>
      </c>
      <c r="L884" s="11">
        <v>95</v>
      </c>
      <c r="M884" s="11">
        <v>-79</v>
      </c>
      <c r="N884" s="11">
        <v>-32</v>
      </c>
      <c r="O884" s="11">
        <v>-25</v>
      </c>
      <c r="P884" s="11">
        <v>-30</v>
      </c>
      <c r="Q884" s="11">
        <v>23</v>
      </c>
      <c r="R884" s="11">
        <v>-21</v>
      </c>
      <c r="S884" s="11">
        <v>0</v>
      </c>
      <c r="T884" s="11">
        <v>1</v>
      </c>
      <c r="U884" s="11">
        <v>-5</v>
      </c>
    </row>
    <row r="885" spans="1:21" x14ac:dyDescent="0.2">
      <c r="A885" s="6" t="s">
        <v>271</v>
      </c>
      <c r="B885" s="13">
        <v>-53</v>
      </c>
      <c r="C885" s="13">
        <v>-3</v>
      </c>
      <c r="D885" s="6">
        <v>0</v>
      </c>
      <c r="E885" s="13">
        <v>-28</v>
      </c>
      <c r="F885" s="6">
        <v>0</v>
      </c>
      <c r="G885" s="13">
        <v>-2</v>
      </c>
      <c r="H885" s="13">
        <v>-12</v>
      </c>
      <c r="I885" s="6">
        <v>0</v>
      </c>
      <c r="J885" s="6">
        <v>0</v>
      </c>
      <c r="K885" s="6">
        <v>0</v>
      </c>
      <c r="L885" s="6">
        <v>95</v>
      </c>
      <c r="M885" s="13">
        <v>-79</v>
      </c>
      <c r="N885" s="13">
        <v>-32</v>
      </c>
      <c r="O885" s="13">
        <v>-25</v>
      </c>
      <c r="P885" s="13">
        <v>-28</v>
      </c>
      <c r="Q885" s="6">
        <v>21</v>
      </c>
      <c r="R885" s="13">
        <v>-21</v>
      </c>
      <c r="S885" s="6">
        <v>0</v>
      </c>
      <c r="T885" s="6">
        <v>1</v>
      </c>
      <c r="U885" s="13">
        <v>-4</v>
      </c>
    </row>
    <row r="886" spans="1:21" x14ac:dyDescent="0.2">
      <c r="A886" s="2" t="s">
        <v>272</v>
      </c>
      <c r="B886" s="2">
        <v>0</v>
      </c>
      <c r="C886" s="2">
        <v>0</v>
      </c>
      <c r="D886" s="2">
        <v>4</v>
      </c>
      <c r="E886" s="2">
        <v>0</v>
      </c>
      <c r="F886" s="2">
        <v>8</v>
      </c>
      <c r="G886" s="2">
        <v>0</v>
      </c>
      <c r="H886" s="2">
        <v>0</v>
      </c>
      <c r="I886" s="2">
        <v>17</v>
      </c>
      <c r="J886" s="2">
        <v>53</v>
      </c>
      <c r="K886" s="2">
        <v>53</v>
      </c>
      <c r="L886" s="2">
        <v>0</v>
      </c>
      <c r="M886" s="2">
        <v>0</v>
      </c>
      <c r="N886" s="2">
        <v>0</v>
      </c>
      <c r="O886" s="2">
        <v>0</v>
      </c>
      <c r="P886" s="9">
        <v>-2</v>
      </c>
      <c r="Q886" s="2">
        <v>2</v>
      </c>
      <c r="R886" s="2">
        <v>0</v>
      </c>
      <c r="S886" s="2">
        <v>0</v>
      </c>
      <c r="T886" s="2">
        <v>0</v>
      </c>
      <c r="U886" s="9">
        <v>-1</v>
      </c>
    </row>
    <row r="887" spans="1:21" x14ac:dyDescent="0.2">
      <c r="A887" s="7" t="s">
        <v>265</v>
      </c>
      <c r="B887" s="7">
        <v>-422</v>
      </c>
      <c r="C887" s="7">
        <v>-107</v>
      </c>
      <c r="D887" s="7">
        <v>-202</v>
      </c>
      <c r="E887" s="7">
        <v>-173</v>
      </c>
      <c r="F887" s="7">
        <v>-335</v>
      </c>
      <c r="G887" s="7">
        <v>-88</v>
      </c>
      <c r="H887" s="7">
        <v>313</v>
      </c>
      <c r="I887" s="8">
        <v>1472</v>
      </c>
      <c r="J887" s="7">
        <v>-4</v>
      </c>
      <c r="K887" s="7">
        <v>-189</v>
      </c>
      <c r="L887" s="7">
        <v>-78</v>
      </c>
      <c r="M887" s="7">
        <v>-132</v>
      </c>
      <c r="N887" s="7">
        <v>2</v>
      </c>
      <c r="O887" s="7">
        <v>-130</v>
      </c>
      <c r="P887" s="7">
        <v>-39</v>
      </c>
      <c r="Q887" s="7">
        <v>-298</v>
      </c>
      <c r="R887" s="7">
        <v>45</v>
      </c>
      <c r="S887" s="7">
        <v>-103</v>
      </c>
      <c r="T887" s="7">
        <v>-30</v>
      </c>
      <c r="U887" s="7">
        <v>82</v>
      </c>
    </row>
    <row r="888" spans="1:21" x14ac:dyDescent="0.2">
      <c r="A888" s="2" t="s">
        <v>35</v>
      </c>
      <c r="B888" s="9">
        <v>-294.39</v>
      </c>
      <c r="C888" s="2">
        <v>47.03</v>
      </c>
      <c r="D888" s="9">
        <v>-16.760000000000002</v>
      </c>
      <c r="E888" s="2">
        <v>48.36</v>
      </c>
      <c r="F888" s="9">
        <v>-280.68</v>
      </c>
      <c r="G888" s="9">
        <v>-128.12</v>
      </c>
      <c r="H888" s="9">
        <v>-78.739999999999995</v>
      </c>
      <c r="I888" s="15" t="s">
        <v>59</v>
      </c>
      <c r="J888" s="2">
        <v>97.88</v>
      </c>
      <c r="K888" s="2">
        <v>79.81</v>
      </c>
      <c r="L888" s="9">
        <v>-100</v>
      </c>
      <c r="M888" s="2">
        <v>55.7</v>
      </c>
      <c r="N888" s="9">
        <v>-95.56</v>
      </c>
      <c r="O888" s="9">
        <v>-26.21</v>
      </c>
      <c r="P888" s="9">
        <v>-30</v>
      </c>
      <c r="Q888" s="9">
        <v>-463.41</v>
      </c>
      <c r="R888" s="15" t="s">
        <v>59</v>
      </c>
      <c r="S888" s="9">
        <v>-14.44</v>
      </c>
      <c r="T888" s="2">
        <v>37.5</v>
      </c>
      <c r="U888" s="15" t="s">
        <v>59</v>
      </c>
    </row>
    <row r="889" spans="1:21" x14ac:dyDescent="0.2">
      <c r="A889" s="7" t="s">
        <v>266</v>
      </c>
      <c r="B889" s="7" t="s">
        <v>1</v>
      </c>
      <c r="C889" s="7" t="s">
        <v>1</v>
      </c>
      <c r="D889" s="7" t="s">
        <v>1</v>
      </c>
      <c r="E889" s="7" t="s">
        <v>1</v>
      </c>
      <c r="F889" s="7" t="s">
        <v>1</v>
      </c>
      <c r="G889" s="7" t="s">
        <v>1</v>
      </c>
      <c r="H889" s="7" t="s">
        <v>1</v>
      </c>
      <c r="I889" s="7" t="s">
        <v>1</v>
      </c>
      <c r="J889" s="7" t="s">
        <v>1</v>
      </c>
      <c r="K889" s="7" t="s">
        <v>1</v>
      </c>
      <c r="L889" s="7" t="s">
        <v>1</v>
      </c>
      <c r="M889" s="7" t="s">
        <v>1</v>
      </c>
      <c r="N889" s="7" t="s">
        <v>1</v>
      </c>
      <c r="O889" s="7" t="s">
        <v>1</v>
      </c>
      <c r="P889" s="7" t="s">
        <v>1</v>
      </c>
      <c r="Q889" s="7" t="s">
        <v>1</v>
      </c>
      <c r="R889" s="7" t="s">
        <v>1</v>
      </c>
      <c r="S889" s="7" t="s">
        <v>1</v>
      </c>
      <c r="T889" s="7" t="s">
        <v>1</v>
      </c>
      <c r="U889" s="7" t="s">
        <v>1</v>
      </c>
    </row>
    <row r="890" spans="1:21" x14ac:dyDescent="0.2">
      <c r="A890" s="11" t="s">
        <v>304</v>
      </c>
      <c r="B890" s="11">
        <v>-752</v>
      </c>
      <c r="C890" s="11">
        <v>-678</v>
      </c>
      <c r="D890" s="11">
        <v>-649</v>
      </c>
      <c r="E890" s="11">
        <v>-592</v>
      </c>
      <c r="F890" s="11">
        <v>-566</v>
      </c>
      <c r="G890" s="11">
        <v>-511</v>
      </c>
      <c r="H890" s="11">
        <v>-462</v>
      </c>
      <c r="I890" s="11">
        <v>-416</v>
      </c>
      <c r="J890" s="11">
        <v>-744</v>
      </c>
      <c r="K890" s="11">
        <v>-730</v>
      </c>
      <c r="L890" s="11">
        <v>-197</v>
      </c>
      <c r="M890" s="11">
        <v>-197</v>
      </c>
      <c r="N890" s="11">
        <v>-198</v>
      </c>
      <c r="O890" s="11">
        <v>-187</v>
      </c>
      <c r="P890" s="11">
        <v>-188</v>
      </c>
      <c r="Q890" s="11">
        <v>-188</v>
      </c>
      <c r="R890" s="11">
        <v>-189</v>
      </c>
      <c r="S890" s="11">
        <v>-170</v>
      </c>
      <c r="T890" s="11">
        <v>-169</v>
      </c>
      <c r="U890" s="11">
        <v>-170</v>
      </c>
    </row>
    <row r="891" spans="1:21" x14ac:dyDescent="0.2">
      <c r="A891" s="6" t="s">
        <v>305</v>
      </c>
      <c r="B891" s="13">
        <v>-752</v>
      </c>
      <c r="C891" s="13">
        <v>-678</v>
      </c>
      <c r="D891" s="13">
        <v>-649</v>
      </c>
      <c r="E891" s="13">
        <v>-592</v>
      </c>
      <c r="F891" s="13">
        <v>-566</v>
      </c>
      <c r="G891" s="13">
        <v>-511</v>
      </c>
      <c r="H891" s="13">
        <v>-462</v>
      </c>
      <c r="I891" s="13">
        <v>-416</v>
      </c>
      <c r="J891" s="13">
        <v>-744</v>
      </c>
      <c r="K891" s="13">
        <v>-730</v>
      </c>
      <c r="L891" s="13">
        <v>-197</v>
      </c>
      <c r="M891" s="13">
        <v>-197</v>
      </c>
      <c r="N891" s="13">
        <v>-198</v>
      </c>
      <c r="O891" s="13">
        <v>-187</v>
      </c>
      <c r="P891" s="13">
        <v>-188</v>
      </c>
      <c r="Q891" s="13">
        <v>-188</v>
      </c>
      <c r="R891" s="13">
        <v>-189</v>
      </c>
      <c r="S891" s="13">
        <v>-170</v>
      </c>
      <c r="T891" s="13">
        <v>-169</v>
      </c>
      <c r="U891" s="13">
        <v>-170</v>
      </c>
    </row>
    <row r="892" spans="1:21" x14ac:dyDescent="0.2">
      <c r="A892" s="11" t="s">
        <v>267</v>
      </c>
      <c r="B892" s="11">
        <v>-441</v>
      </c>
      <c r="C892" s="11">
        <v>-50</v>
      </c>
      <c r="D892" s="12">
        <v>-1200</v>
      </c>
      <c r="E892" s="12">
        <v>-1591</v>
      </c>
      <c r="F892" s="11">
        <v>-239</v>
      </c>
      <c r="G892" s="11">
        <v>-815</v>
      </c>
      <c r="H892" s="12">
        <v>-2390</v>
      </c>
      <c r="I892" s="12">
        <v>-1960</v>
      </c>
      <c r="J892" s="12">
        <v>-5403</v>
      </c>
      <c r="K892" s="12">
        <v>-1200</v>
      </c>
      <c r="L892" s="11">
        <v>-36</v>
      </c>
      <c r="M892" s="11">
        <v>-109</v>
      </c>
      <c r="N892" s="11">
        <v>-229</v>
      </c>
      <c r="O892" s="11">
        <v>-114</v>
      </c>
      <c r="P892" s="11">
        <v>-277</v>
      </c>
      <c r="Q892" s="11">
        <v>-50</v>
      </c>
      <c r="R892" s="11">
        <v>0</v>
      </c>
      <c r="S892" s="11">
        <v>0</v>
      </c>
      <c r="T892" s="11">
        <v>0</v>
      </c>
      <c r="U892" s="11">
        <v>0</v>
      </c>
    </row>
    <row r="893" spans="1:21" x14ac:dyDescent="0.2">
      <c r="A893" s="6" t="s">
        <v>268</v>
      </c>
      <c r="B893" s="13">
        <v>-441</v>
      </c>
      <c r="C893" s="13">
        <v>-50</v>
      </c>
      <c r="D893" s="24">
        <v>-1200</v>
      </c>
      <c r="E893" s="24">
        <v>-1591</v>
      </c>
      <c r="F893" s="13">
        <v>-239</v>
      </c>
      <c r="G893" s="13">
        <v>-815</v>
      </c>
      <c r="H893" s="24">
        <v>-2390</v>
      </c>
      <c r="I893" s="24">
        <v>-1960</v>
      </c>
      <c r="J893" s="24">
        <v>-5403</v>
      </c>
      <c r="K893" s="24">
        <v>-1200</v>
      </c>
      <c r="L893" s="13">
        <v>-36</v>
      </c>
      <c r="M893" s="13">
        <v>-109</v>
      </c>
      <c r="N893" s="13">
        <v>-229</v>
      </c>
      <c r="O893" s="13">
        <v>-114</v>
      </c>
      <c r="P893" s="13">
        <v>-277</v>
      </c>
      <c r="Q893" s="13">
        <v>-50</v>
      </c>
      <c r="R893" s="6">
        <v>0</v>
      </c>
      <c r="S893" s="6">
        <v>0</v>
      </c>
      <c r="T893" s="6">
        <v>0</v>
      </c>
      <c r="U893" s="6">
        <v>0</v>
      </c>
    </row>
    <row r="894" spans="1:21" x14ac:dyDescent="0.2">
      <c r="A894" s="11" t="s">
        <v>307</v>
      </c>
      <c r="B894" s="11">
        <v>103</v>
      </c>
      <c r="C894" s="11">
        <v>-676</v>
      </c>
      <c r="D894" s="11">
        <v>568</v>
      </c>
      <c r="E894" s="11">
        <v>456</v>
      </c>
      <c r="F894" s="11">
        <v>108</v>
      </c>
      <c r="G894" s="11">
        <v>463</v>
      </c>
      <c r="H894" s="11">
        <v>279</v>
      </c>
      <c r="I894" s="11">
        <v>671</v>
      </c>
      <c r="J894" s="12">
        <v>5206</v>
      </c>
      <c r="K894" s="11">
        <v>633</v>
      </c>
      <c r="L894" s="11">
        <v>161</v>
      </c>
      <c r="M894" s="11">
        <v>21</v>
      </c>
      <c r="N894" s="11">
        <v>19</v>
      </c>
      <c r="O894" s="11">
        <v>133</v>
      </c>
      <c r="P894" s="11">
        <v>21</v>
      </c>
      <c r="Q894" s="11">
        <v>-41</v>
      </c>
      <c r="R894" s="11">
        <v>-10</v>
      </c>
      <c r="S894" s="11">
        <v>-337</v>
      </c>
      <c r="T894" s="11">
        <v>-50</v>
      </c>
      <c r="U894" s="11">
        <v>-184</v>
      </c>
    </row>
    <row r="895" spans="1:21" x14ac:dyDescent="0.2">
      <c r="A895" s="6" t="s">
        <v>359</v>
      </c>
      <c r="B895" s="6">
        <v>0</v>
      </c>
      <c r="C895" s="6">
        <v>0</v>
      </c>
      <c r="D895" s="6">
        <v>0</v>
      </c>
      <c r="E895" s="6">
        <v>0</v>
      </c>
      <c r="F895" s="13">
        <v>-5</v>
      </c>
      <c r="G895" s="6">
        <v>4</v>
      </c>
      <c r="H895" s="6">
        <v>0</v>
      </c>
      <c r="I895" s="6">
        <v>0</v>
      </c>
      <c r="J895" s="13">
        <v>-600</v>
      </c>
      <c r="K895" s="6">
        <v>609</v>
      </c>
      <c r="L895" s="6">
        <v>13</v>
      </c>
      <c r="M895" s="6">
        <v>2</v>
      </c>
      <c r="N895" s="6">
        <v>0</v>
      </c>
      <c r="O895" s="6">
        <v>0</v>
      </c>
      <c r="P895" s="6">
        <v>0</v>
      </c>
      <c r="Q895" s="6">
        <v>0</v>
      </c>
      <c r="R895" s="6">
        <v>0</v>
      </c>
      <c r="S895" s="6">
        <v>0</v>
      </c>
      <c r="T895" s="6">
        <v>0</v>
      </c>
      <c r="U895" s="6">
        <v>0</v>
      </c>
    </row>
    <row r="896" spans="1:21" x14ac:dyDescent="0.2">
      <c r="A896" s="11" t="s">
        <v>308</v>
      </c>
      <c r="B896" s="11">
        <v>103</v>
      </c>
      <c r="C896" s="11">
        <v>-676</v>
      </c>
      <c r="D896" s="11">
        <v>568</v>
      </c>
      <c r="E896" s="11">
        <v>456</v>
      </c>
      <c r="F896" s="11">
        <v>113</v>
      </c>
      <c r="G896" s="11">
        <v>459</v>
      </c>
      <c r="H896" s="11">
        <v>279</v>
      </c>
      <c r="I896" s="11">
        <v>671</v>
      </c>
      <c r="J896" s="12">
        <v>5806</v>
      </c>
      <c r="K896" s="11">
        <v>24</v>
      </c>
      <c r="L896" s="11">
        <v>148</v>
      </c>
      <c r="M896" s="11">
        <v>19</v>
      </c>
      <c r="N896" s="11">
        <v>19</v>
      </c>
      <c r="O896" s="11">
        <v>133</v>
      </c>
      <c r="P896" s="11">
        <v>21</v>
      </c>
      <c r="Q896" s="11">
        <v>-41</v>
      </c>
      <c r="R896" s="11">
        <v>-10</v>
      </c>
      <c r="S896" s="11">
        <v>-337</v>
      </c>
      <c r="T896" s="11">
        <v>-50</v>
      </c>
      <c r="U896" s="11">
        <v>-184</v>
      </c>
    </row>
    <row r="897" spans="1:21" x14ac:dyDescent="0.2">
      <c r="A897" s="6" t="s">
        <v>309</v>
      </c>
      <c r="B897" s="6">
        <v>582</v>
      </c>
      <c r="C897" s="6">
        <v>0</v>
      </c>
      <c r="D897" s="18">
        <v>1267</v>
      </c>
      <c r="E897" s="18">
        <v>4113</v>
      </c>
      <c r="F897" s="18">
        <v>1630</v>
      </c>
      <c r="G897" s="6">
        <v>790</v>
      </c>
      <c r="H897" s="18">
        <v>1543</v>
      </c>
      <c r="I897" s="18">
        <v>1056</v>
      </c>
      <c r="J897" s="18">
        <v>6814</v>
      </c>
      <c r="K897" s="6">
        <v>285</v>
      </c>
      <c r="L897" s="18">
        <v>1443</v>
      </c>
      <c r="M897" s="6">
        <v>26</v>
      </c>
      <c r="N897" s="6">
        <v>24</v>
      </c>
      <c r="O897" s="6">
        <v>140</v>
      </c>
      <c r="P897" s="6">
        <v>30</v>
      </c>
      <c r="Q897" s="6">
        <v>412</v>
      </c>
      <c r="R897" s="6">
        <v>0</v>
      </c>
      <c r="S897" s="6">
        <v>0</v>
      </c>
      <c r="T897" s="6">
        <v>0</v>
      </c>
      <c r="U897" s="6">
        <v>0</v>
      </c>
    </row>
    <row r="898" spans="1:21" x14ac:dyDescent="0.2">
      <c r="A898" s="2" t="s">
        <v>310</v>
      </c>
      <c r="B898" s="9">
        <v>-479</v>
      </c>
      <c r="C898" s="9">
        <v>-676</v>
      </c>
      <c r="D898" s="9">
        <v>-699</v>
      </c>
      <c r="E898" s="27">
        <v>-3657</v>
      </c>
      <c r="F898" s="27">
        <v>-1517</v>
      </c>
      <c r="G898" s="9">
        <v>-331</v>
      </c>
      <c r="H898" s="27">
        <v>-1264</v>
      </c>
      <c r="I898" s="9">
        <v>-385</v>
      </c>
      <c r="J898" s="27">
        <v>-1008</v>
      </c>
      <c r="K898" s="9">
        <v>-261</v>
      </c>
      <c r="L898" s="27">
        <v>-1295</v>
      </c>
      <c r="M898" s="9">
        <v>-7</v>
      </c>
      <c r="N898" s="9">
        <v>-5</v>
      </c>
      <c r="O898" s="9">
        <v>-7</v>
      </c>
      <c r="P898" s="9">
        <v>-9</v>
      </c>
      <c r="Q898" s="9">
        <v>-453</v>
      </c>
      <c r="R898" s="9">
        <v>-10</v>
      </c>
      <c r="S898" s="9">
        <v>-337</v>
      </c>
      <c r="T898" s="9">
        <v>-50</v>
      </c>
      <c r="U898" s="9">
        <v>-184</v>
      </c>
    </row>
    <row r="899" spans="1:21" x14ac:dyDescent="0.2">
      <c r="A899" s="7" t="s">
        <v>252</v>
      </c>
      <c r="B899" s="7">
        <v>-73</v>
      </c>
      <c r="C899" s="7">
        <v>-25</v>
      </c>
      <c r="D899" s="7">
        <v>-42</v>
      </c>
      <c r="E899" s="7">
        <v>-40</v>
      </c>
      <c r="F899" s="7">
        <v>-41</v>
      </c>
      <c r="G899" s="7">
        <v>-75</v>
      </c>
      <c r="H899" s="7">
        <v>-47</v>
      </c>
      <c r="I899" s="7">
        <v>-90</v>
      </c>
      <c r="J899" s="7">
        <v>197</v>
      </c>
      <c r="K899" s="7">
        <v>239</v>
      </c>
      <c r="L899" s="7">
        <v>-9</v>
      </c>
      <c r="M899" s="7">
        <v>-13</v>
      </c>
      <c r="N899" s="7">
        <v>-35</v>
      </c>
      <c r="O899" s="7">
        <v>-4</v>
      </c>
      <c r="P899" s="7">
        <v>0</v>
      </c>
      <c r="Q899" s="7">
        <v>-21</v>
      </c>
      <c r="R899" s="7">
        <v>-48</v>
      </c>
      <c r="S899" s="7">
        <v>-1</v>
      </c>
      <c r="T899" s="7">
        <v>-4</v>
      </c>
      <c r="U899" s="7">
        <v>-10</v>
      </c>
    </row>
    <row r="900" spans="1:21" x14ac:dyDescent="0.2">
      <c r="A900" s="2" t="s">
        <v>271</v>
      </c>
      <c r="B900" s="9">
        <v>-73</v>
      </c>
      <c r="C900" s="9">
        <v>-25</v>
      </c>
      <c r="D900" s="9">
        <v>-42</v>
      </c>
      <c r="E900" s="9">
        <v>-40</v>
      </c>
      <c r="F900" s="9">
        <v>-41</v>
      </c>
      <c r="G900" s="9">
        <v>-75</v>
      </c>
      <c r="H900" s="9">
        <v>-47</v>
      </c>
      <c r="I900" s="9">
        <v>-90</v>
      </c>
      <c r="J900" s="9">
        <v>-92</v>
      </c>
      <c r="K900" s="9">
        <v>-43</v>
      </c>
      <c r="L900" s="9">
        <v>-9</v>
      </c>
      <c r="M900" s="9">
        <v>-13</v>
      </c>
      <c r="N900" s="9">
        <v>-35</v>
      </c>
      <c r="O900" s="9">
        <v>-4</v>
      </c>
      <c r="P900" s="2">
        <v>0</v>
      </c>
      <c r="Q900" s="9">
        <v>-21</v>
      </c>
      <c r="R900" s="9">
        <v>-48</v>
      </c>
      <c r="S900" s="9">
        <v>-1</v>
      </c>
      <c r="T900" s="9">
        <v>-4</v>
      </c>
      <c r="U900" s="9">
        <v>-10</v>
      </c>
    </row>
    <row r="901" spans="1:21" x14ac:dyDescent="0.2">
      <c r="A901" s="6" t="s">
        <v>272</v>
      </c>
      <c r="B901" s="6">
        <v>0</v>
      </c>
      <c r="C901" s="6">
        <v>0</v>
      </c>
      <c r="D901" s="6">
        <v>0</v>
      </c>
      <c r="E901" s="6">
        <v>0</v>
      </c>
      <c r="F901" s="6">
        <v>0</v>
      </c>
      <c r="G901" s="6">
        <v>0</v>
      </c>
      <c r="H901" s="6">
        <v>0</v>
      </c>
      <c r="I901" s="6">
        <v>0</v>
      </c>
      <c r="J901" s="6">
        <v>289</v>
      </c>
      <c r="K901" s="6">
        <v>282</v>
      </c>
      <c r="L901" s="6">
        <v>0</v>
      </c>
      <c r="M901" s="6">
        <v>0</v>
      </c>
      <c r="N901" s="6">
        <v>0</v>
      </c>
      <c r="O901" s="6">
        <v>0</v>
      </c>
      <c r="P901" s="6">
        <v>0</v>
      </c>
      <c r="Q901" s="6">
        <v>0</v>
      </c>
      <c r="R901" s="6">
        <v>0</v>
      </c>
      <c r="S901" s="6">
        <v>0</v>
      </c>
      <c r="T901" s="6">
        <v>0</v>
      </c>
      <c r="U901" s="6">
        <v>0</v>
      </c>
    </row>
    <row r="902" spans="1:21" x14ac:dyDescent="0.2">
      <c r="A902" s="11" t="s">
        <v>273</v>
      </c>
      <c r="B902" s="12">
        <v>-1163</v>
      </c>
      <c r="C902" s="12">
        <v>-1429</v>
      </c>
      <c r="D902" s="12">
        <v>-1323</v>
      </c>
      <c r="E902" s="12">
        <v>-1767</v>
      </c>
      <c r="F902" s="11">
        <v>-738</v>
      </c>
      <c r="G902" s="11">
        <v>-938</v>
      </c>
      <c r="H902" s="12">
        <v>-2620</v>
      </c>
      <c r="I902" s="12">
        <v>-1795</v>
      </c>
      <c r="J902" s="11">
        <v>-744</v>
      </c>
      <c r="K902" s="12">
        <v>-1058</v>
      </c>
      <c r="L902" s="11">
        <v>-81</v>
      </c>
      <c r="M902" s="11">
        <v>-298</v>
      </c>
      <c r="N902" s="11">
        <v>-443</v>
      </c>
      <c r="O902" s="11">
        <v>-172</v>
      </c>
      <c r="P902" s="11">
        <v>-444</v>
      </c>
      <c r="Q902" s="11">
        <v>-300</v>
      </c>
      <c r="R902" s="11">
        <v>-247</v>
      </c>
      <c r="S902" s="11">
        <v>-508</v>
      </c>
      <c r="T902" s="11">
        <v>-223</v>
      </c>
      <c r="U902" s="11">
        <v>-364</v>
      </c>
    </row>
    <row r="903" spans="1:21" x14ac:dyDescent="0.2">
      <c r="A903" s="6" t="s">
        <v>35</v>
      </c>
      <c r="B903" s="6">
        <v>18.61</v>
      </c>
      <c r="C903" s="13">
        <v>-8.01</v>
      </c>
      <c r="D903" s="6">
        <v>25.13</v>
      </c>
      <c r="E903" s="13">
        <v>-139.43</v>
      </c>
      <c r="F903" s="6">
        <v>21.32</v>
      </c>
      <c r="G903" s="6">
        <v>64.2</v>
      </c>
      <c r="H903" s="13">
        <v>-45.96</v>
      </c>
      <c r="I903" s="13">
        <v>-141.26</v>
      </c>
      <c r="J903" s="6">
        <v>29.68</v>
      </c>
      <c r="K903" s="6">
        <v>5.03</v>
      </c>
      <c r="L903" s="6">
        <v>81.760000000000005</v>
      </c>
      <c r="M903" s="6">
        <v>0.67</v>
      </c>
      <c r="N903" s="13">
        <v>-79.349999999999994</v>
      </c>
      <c r="O903" s="6">
        <v>66.14</v>
      </c>
      <c r="P903" s="13">
        <v>-99.1</v>
      </c>
      <c r="Q903" s="6">
        <v>17.579999999999998</v>
      </c>
      <c r="R903" s="6">
        <v>26.05</v>
      </c>
      <c r="S903" s="13">
        <v>-28.61</v>
      </c>
      <c r="T903" s="6">
        <v>34.799999999999997</v>
      </c>
      <c r="U903" s="13">
        <v>-74.16</v>
      </c>
    </row>
    <row r="904" spans="1:21" x14ac:dyDescent="0.2">
      <c r="A904" s="11" t="s">
        <v>274</v>
      </c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</row>
    <row r="905" spans="1:21" x14ac:dyDescent="0.2">
      <c r="A905" s="6" t="s">
        <v>275</v>
      </c>
      <c r="B905" s="13">
        <v>-21</v>
      </c>
      <c r="C905" s="6">
        <v>10</v>
      </c>
      <c r="D905" s="13">
        <v>-26</v>
      </c>
      <c r="E905" s="13">
        <v>-19</v>
      </c>
      <c r="F905" s="6">
        <v>24</v>
      </c>
      <c r="G905" s="6">
        <v>5</v>
      </c>
      <c r="H905" s="13">
        <v>-63</v>
      </c>
      <c r="I905" s="6">
        <v>61</v>
      </c>
      <c r="J905" s="13">
        <v>-34</v>
      </c>
      <c r="K905" s="6">
        <v>11</v>
      </c>
      <c r="L905" s="13">
        <v>-2</v>
      </c>
      <c r="M905" s="6">
        <v>21</v>
      </c>
      <c r="N905" s="6">
        <v>10</v>
      </c>
      <c r="O905" s="13">
        <v>-31</v>
      </c>
      <c r="P905" s="6">
        <v>16</v>
      </c>
      <c r="Q905" s="6">
        <v>1</v>
      </c>
      <c r="R905" s="13">
        <v>-7</v>
      </c>
      <c r="S905" s="6">
        <v>12</v>
      </c>
      <c r="T905" s="13">
        <v>-8</v>
      </c>
      <c r="U905" s="6">
        <v>3</v>
      </c>
    </row>
    <row r="906" spans="1:21" x14ac:dyDescent="0.2">
      <c r="A906" s="2" t="s">
        <v>276</v>
      </c>
      <c r="B906" s="2">
        <v>83</v>
      </c>
      <c r="C906" s="2">
        <v>77</v>
      </c>
      <c r="D906" s="9">
        <v>-124</v>
      </c>
      <c r="E906" s="9">
        <v>-253</v>
      </c>
      <c r="F906" s="2">
        <v>256</v>
      </c>
      <c r="G906" s="2">
        <v>294</v>
      </c>
      <c r="H906" s="27">
        <v>-1194</v>
      </c>
      <c r="I906" s="2">
        <v>768</v>
      </c>
      <c r="J906" s="2">
        <v>466</v>
      </c>
      <c r="K906" s="9">
        <v>-23</v>
      </c>
      <c r="L906" s="2">
        <v>382</v>
      </c>
      <c r="M906" s="2">
        <v>37</v>
      </c>
      <c r="N906" s="9">
        <v>-27</v>
      </c>
      <c r="O906" s="2">
        <v>180</v>
      </c>
      <c r="P906" s="2">
        <v>4</v>
      </c>
      <c r="Q906" s="9">
        <v>-255</v>
      </c>
      <c r="R906" s="2">
        <v>154</v>
      </c>
      <c r="S906" s="9">
        <v>-151</v>
      </c>
      <c r="T906" s="2">
        <v>216</v>
      </c>
      <c r="U906" s="2">
        <v>50</v>
      </c>
    </row>
    <row r="907" spans="1:21" x14ac:dyDescent="0.2">
      <c r="A907" s="7" t="s">
        <v>141</v>
      </c>
      <c r="B907" s="8">
        <v>1432</v>
      </c>
      <c r="C907" s="8">
        <v>1318</v>
      </c>
      <c r="D907" s="8">
        <v>1148</v>
      </c>
      <c r="E907" s="8">
        <v>1476</v>
      </c>
      <c r="F907" s="8">
        <v>1145</v>
      </c>
      <c r="G907" s="8">
        <v>1119</v>
      </c>
      <c r="H907" s="7">
        <v>942</v>
      </c>
      <c r="I907" s="7">
        <v>712</v>
      </c>
      <c r="J907" s="7">
        <v>821</v>
      </c>
      <c r="K907" s="7">
        <v>752</v>
      </c>
      <c r="L907" s="7">
        <v>449</v>
      </c>
      <c r="M907" s="7">
        <v>375</v>
      </c>
      <c r="N907" s="7">
        <v>333</v>
      </c>
      <c r="O907" s="7">
        <v>407</v>
      </c>
      <c r="P907" s="7">
        <v>419</v>
      </c>
      <c r="Q907" s="7">
        <v>292</v>
      </c>
      <c r="R907" s="7">
        <v>314</v>
      </c>
      <c r="S907" s="7">
        <v>342</v>
      </c>
      <c r="T907" s="7">
        <v>420</v>
      </c>
      <c r="U907" s="7">
        <v>269</v>
      </c>
    </row>
    <row r="908" spans="1:21" x14ac:dyDescent="0.2">
      <c r="A908" s="2" t="s">
        <v>35</v>
      </c>
      <c r="B908" s="2">
        <v>8.65</v>
      </c>
      <c r="C908" s="2">
        <v>14.81</v>
      </c>
      <c r="D908" s="9">
        <v>-22.22</v>
      </c>
      <c r="E908" s="2">
        <v>28.91</v>
      </c>
      <c r="F908" s="2">
        <v>2.3199999999999998</v>
      </c>
      <c r="G908" s="2">
        <v>18.79</v>
      </c>
      <c r="H908" s="2">
        <v>32.299999999999997</v>
      </c>
      <c r="I908" s="9">
        <v>-13.28</v>
      </c>
      <c r="J908" s="2">
        <v>9.18</v>
      </c>
      <c r="K908" s="9">
        <v>-25.98</v>
      </c>
      <c r="L908" s="2">
        <v>7.16</v>
      </c>
      <c r="M908" s="2">
        <v>28.42</v>
      </c>
      <c r="N908" s="2">
        <v>6.05</v>
      </c>
      <c r="O908" s="2">
        <v>19.010000000000002</v>
      </c>
      <c r="P908" s="9">
        <v>-0.24</v>
      </c>
      <c r="Q908" s="2">
        <v>8.5500000000000007</v>
      </c>
      <c r="R908" s="2">
        <v>9.41</v>
      </c>
      <c r="S908" s="2">
        <v>3.32</v>
      </c>
      <c r="T908" s="2">
        <v>7.14</v>
      </c>
      <c r="U908" s="2">
        <v>25.7</v>
      </c>
    </row>
    <row r="909" spans="1:21" x14ac:dyDescent="0.2">
      <c r="A909" s="6" t="s">
        <v>158</v>
      </c>
      <c r="B909" s="6">
        <v>5</v>
      </c>
      <c r="C909" s="6">
        <v>4.5999999999999996</v>
      </c>
      <c r="D909" s="6">
        <v>4</v>
      </c>
      <c r="E909" s="6">
        <v>4.9000000000000004</v>
      </c>
      <c r="F909" s="6">
        <v>3.7</v>
      </c>
      <c r="G909" s="6">
        <v>3.6</v>
      </c>
      <c r="H909" s="6">
        <v>2.9</v>
      </c>
      <c r="I909" s="6">
        <v>2</v>
      </c>
      <c r="J909" s="6">
        <v>2.1</v>
      </c>
      <c r="K909" s="6">
        <v>1.7</v>
      </c>
      <c r="L909" s="6">
        <v>1.6</v>
      </c>
      <c r="M909" s="6">
        <v>1.3</v>
      </c>
      <c r="N909" s="6">
        <v>1.2</v>
      </c>
      <c r="O909" s="6">
        <v>1.4</v>
      </c>
      <c r="P909" s="6">
        <v>1.5</v>
      </c>
      <c r="Q909" s="6">
        <v>1</v>
      </c>
      <c r="R909" s="6">
        <v>1.1000000000000001</v>
      </c>
      <c r="S909" s="6">
        <v>1.2</v>
      </c>
      <c r="T909" s="6">
        <v>1.5</v>
      </c>
      <c r="U909" s="6">
        <v>0.9</v>
      </c>
    </row>
    <row r="910" spans="1:21" x14ac:dyDescent="0.2">
      <c r="A910" s="2" t="s">
        <v>277</v>
      </c>
      <c r="B910" s="2">
        <v>3.75</v>
      </c>
      <c r="C910" s="2">
        <v>3.54</v>
      </c>
      <c r="D910" s="2">
        <v>3.09</v>
      </c>
      <c r="E910" s="2">
        <v>3.52</v>
      </c>
      <c r="F910" s="2">
        <v>3.44</v>
      </c>
      <c r="G910" s="2">
        <v>3.55</v>
      </c>
      <c r="H910" s="2">
        <v>3.11</v>
      </c>
      <c r="I910" s="2">
        <v>2.46</v>
      </c>
      <c r="J910" s="2">
        <v>3.24</v>
      </c>
      <c r="K910" s="2">
        <v>2.29</v>
      </c>
      <c r="L910" s="2">
        <v>3.66</v>
      </c>
      <c r="M910" s="2">
        <v>3.68</v>
      </c>
      <c r="N910" s="2">
        <v>3.27</v>
      </c>
      <c r="O910" s="2">
        <v>3.77</v>
      </c>
      <c r="P910" s="2">
        <v>3.43</v>
      </c>
      <c r="Q910" s="2">
        <v>3.61</v>
      </c>
      <c r="R910" s="2">
        <v>3.39</v>
      </c>
      <c r="S910" s="2">
        <v>3.54</v>
      </c>
      <c r="T910" s="2">
        <v>3.66</v>
      </c>
      <c r="U910" s="2">
        <v>3.23</v>
      </c>
    </row>
    <row r="911" spans="1:21" x14ac:dyDescent="0.2">
      <c r="A911" s="6" t="s">
        <v>111</v>
      </c>
      <c r="B911" s="6" t="s">
        <v>1</v>
      </c>
      <c r="C911" s="6" t="s">
        <v>1</v>
      </c>
      <c r="D911" s="6" t="s">
        <v>1</v>
      </c>
      <c r="E911" s="6" t="s">
        <v>1</v>
      </c>
      <c r="F911" s="6" t="s">
        <v>1</v>
      </c>
      <c r="G911" s="6" t="s">
        <v>1</v>
      </c>
      <c r="H911" s="6" t="s">
        <v>1</v>
      </c>
      <c r="I911" s="6" t="s">
        <v>1</v>
      </c>
      <c r="J911" s="6" t="s">
        <v>1</v>
      </c>
      <c r="K911" s="6" t="s">
        <v>1</v>
      </c>
      <c r="L911" s="6" t="s">
        <v>1</v>
      </c>
      <c r="M911" s="6" t="s">
        <v>1</v>
      </c>
      <c r="N911" s="6" t="s">
        <v>1</v>
      </c>
      <c r="O911" s="6" t="s">
        <v>1</v>
      </c>
      <c r="P911" s="6" t="s">
        <v>1</v>
      </c>
      <c r="Q911" s="6" t="s">
        <v>1</v>
      </c>
      <c r="R911" s="6" t="s">
        <v>1</v>
      </c>
      <c r="S911" s="6" t="s">
        <v>1</v>
      </c>
      <c r="T911" s="6" t="s">
        <v>1</v>
      </c>
      <c r="U911" s="6" t="s">
        <v>1</v>
      </c>
    </row>
    <row r="912" spans="1:21" x14ac:dyDescent="0.2">
      <c r="A912" s="2" t="s">
        <v>311</v>
      </c>
      <c r="B912" s="2">
        <v>510</v>
      </c>
      <c r="C912" s="2">
        <v>526</v>
      </c>
      <c r="D912" s="2">
        <v>507</v>
      </c>
      <c r="E912" s="2">
        <v>474</v>
      </c>
      <c r="F912" s="2">
        <v>480</v>
      </c>
      <c r="G912" s="2">
        <v>497</v>
      </c>
      <c r="H912" s="2">
        <v>455</v>
      </c>
      <c r="I912" s="2">
        <v>442</v>
      </c>
      <c r="J912" s="2">
        <v>297</v>
      </c>
      <c r="K912" s="2">
        <v>145</v>
      </c>
      <c r="L912" s="2">
        <v>108</v>
      </c>
      <c r="M912" s="2">
        <v>154</v>
      </c>
      <c r="N912" s="2">
        <v>102</v>
      </c>
      <c r="O912" s="2">
        <v>154</v>
      </c>
      <c r="P912" s="2">
        <v>102</v>
      </c>
      <c r="Q912" s="2">
        <v>153</v>
      </c>
      <c r="R912" s="2">
        <v>101</v>
      </c>
      <c r="S912" s="2">
        <v>159</v>
      </c>
      <c r="T912" s="15" t="s">
        <v>59</v>
      </c>
      <c r="U912" s="15" t="s">
        <v>59</v>
      </c>
    </row>
    <row r="913" spans="1:21" x14ac:dyDescent="0.2">
      <c r="A913" s="6" t="s">
        <v>278</v>
      </c>
      <c r="B913" s="6">
        <v>494</v>
      </c>
      <c r="C913" s="6">
        <v>432</v>
      </c>
      <c r="D913" s="6">
        <v>371</v>
      </c>
      <c r="E913" s="6">
        <v>308</v>
      </c>
      <c r="F913" s="6">
        <v>328</v>
      </c>
      <c r="G913" s="6">
        <v>283</v>
      </c>
      <c r="H913" s="6">
        <v>279</v>
      </c>
      <c r="I913" s="6">
        <v>346</v>
      </c>
      <c r="J913" s="6">
        <v>314</v>
      </c>
      <c r="K913" s="6">
        <v>390</v>
      </c>
      <c r="L913" s="16" t="s">
        <v>59</v>
      </c>
      <c r="M913" s="16" t="s">
        <v>59</v>
      </c>
      <c r="N913" s="16" t="s">
        <v>59</v>
      </c>
      <c r="O913" s="16" t="s">
        <v>59</v>
      </c>
      <c r="P913" s="16" t="s">
        <v>59</v>
      </c>
      <c r="Q913" s="16" t="s">
        <v>59</v>
      </c>
      <c r="R913" s="16" t="s">
        <v>59</v>
      </c>
      <c r="S913" s="16" t="s">
        <v>59</v>
      </c>
      <c r="T913" s="16" t="s">
        <v>59</v>
      </c>
      <c r="U913" s="16" t="s">
        <v>59</v>
      </c>
    </row>
    <row r="914" spans="1:21" x14ac:dyDescent="0.2">
      <c r="A914" s="25" t="s">
        <v>279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7A20-B4AA-43CE-AD07-229F080031E7}">
  <dimension ref="A1:L35"/>
  <sheetViews>
    <sheetView workbookViewId="0">
      <selection activeCell="F38" sqref="F38"/>
    </sheetView>
  </sheetViews>
  <sheetFormatPr baseColWidth="10" defaultColWidth="8.83203125" defaultRowHeight="15" x14ac:dyDescent="0.2"/>
  <cols>
    <col min="3" max="3" width="10.5" style="28" bestFit="1" customWidth="1"/>
    <col min="4" max="4" width="14.83203125" bestFit="1" customWidth="1"/>
    <col min="5" max="5" width="15.5" bestFit="1" customWidth="1"/>
    <col min="6" max="6" width="9.1640625" style="28"/>
  </cols>
  <sheetData>
    <row r="1" spans="1:12" x14ac:dyDescent="0.2">
      <c r="A1" s="52" t="s">
        <v>360</v>
      </c>
    </row>
    <row r="3" spans="1:12" x14ac:dyDescent="0.2">
      <c r="A3" t="s">
        <v>361</v>
      </c>
      <c r="B3" t="s">
        <v>362</v>
      </c>
      <c r="C3" s="28" t="s">
        <v>363</v>
      </c>
      <c r="D3" t="s">
        <v>364</v>
      </c>
      <c r="E3" t="s">
        <v>365</v>
      </c>
      <c r="F3" s="28" t="s">
        <v>366</v>
      </c>
    </row>
    <row r="4" spans="1:12" x14ac:dyDescent="0.2">
      <c r="B4">
        <v>2024</v>
      </c>
      <c r="C4" s="28">
        <f xml:space="preserve"> 'Raw Data'!B46 / 'Raw Data'!B14</f>
        <v>0.13559426899654406</v>
      </c>
      <c r="D4" s="31">
        <f xml:space="preserve"> 'Raw Data'!B14 / 'Raw Data'!B104</f>
        <v>1.0762842465753424</v>
      </c>
      <c r="E4" s="32">
        <f xml:space="preserve"> 'Raw Data'!B104/'Raw Data'!B137</f>
        <v>2.8752735229759301</v>
      </c>
      <c r="F4" s="28">
        <f xml:space="preserve"> C4*D4*E4</f>
        <v>0.41961159737417941</v>
      </c>
      <c r="J4" t="s">
        <v>367</v>
      </c>
      <c r="L4" t="s">
        <v>368</v>
      </c>
    </row>
    <row r="5" spans="1:12" x14ac:dyDescent="0.2">
      <c r="B5">
        <v>2023</v>
      </c>
      <c r="C5" s="28">
        <f xml:space="preserve"> 'Raw Data'!C46 / 'Raw Data'!C14</f>
        <v>0.12446817131974554</v>
      </c>
      <c r="D5" s="30">
        <f xml:space="preserve"> 'Raw Data'!C14 / 'Raw Data'!C104</f>
        <v>1.0727667898282982</v>
      </c>
      <c r="E5">
        <f xml:space="preserve"> 'Raw Data'!C104/'Raw Data'!C137</f>
        <v>3.0052253429131288</v>
      </c>
      <c r="F5" s="28">
        <f t="shared" ref="F5:F8" si="0" xml:space="preserve"> C5*D5*E5</f>
        <v>0.40127367733507513</v>
      </c>
      <c r="J5" t="s">
        <v>87</v>
      </c>
      <c r="L5" t="s">
        <v>369</v>
      </c>
    </row>
    <row r="6" spans="1:12" x14ac:dyDescent="0.2">
      <c r="B6">
        <v>2022</v>
      </c>
      <c r="C6" s="28">
        <f xml:space="preserve"> 'Raw Data'!D46 / 'Raw Data'!D14</f>
        <v>0.10412637381727216</v>
      </c>
      <c r="D6" s="30">
        <f xml:space="preserve"> 'Raw Data'!D14 / 'Raw Data'!D104</f>
        <v>1.0806883604505633</v>
      </c>
      <c r="E6">
        <f xml:space="preserve"> 'Raw Data'!D104/'Raw Data'!D137</f>
        <v>3.3741554054054053</v>
      </c>
      <c r="F6" s="28">
        <f t="shared" si="0"/>
        <v>0.37968749999999996</v>
      </c>
      <c r="J6" t="s">
        <v>118</v>
      </c>
      <c r="L6" t="s">
        <v>370</v>
      </c>
    </row>
    <row r="7" spans="1:12" x14ac:dyDescent="0.2">
      <c r="B7">
        <v>2021</v>
      </c>
      <c r="C7" s="28">
        <f xml:space="preserve"> 'Raw Data'!E46 / 'Raw Data'!E14</f>
        <v>8.6523300340528145E-2</v>
      </c>
      <c r="D7" s="30">
        <f xml:space="preserve"> 'Raw Data'!E14 / 'Raw Data'!E104</f>
        <v>0.98732339089481946</v>
      </c>
      <c r="E7">
        <f xml:space="preserve"> 'Raw Data'!E104/'Raw Data'!E137</f>
        <v>3.3278188942098388</v>
      </c>
      <c r="F7" s="28">
        <f t="shared" si="0"/>
        <v>0.28428384849804089</v>
      </c>
      <c r="J7" t="s">
        <v>224</v>
      </c>
      <c r="L7" t="s">
        <v>371</v>
      </c>
    </row>
    <row r="8" spans="1:12" x14ac:dyDescent="0.2">
      <c r="B8">
        <v>2020</v>
      </c>
      <c r="C8" s="28">
        <f xml:space="preserve"> 'Raw Data'!F46 / 'Raw Data'!F14</f>
        <v>5.9452594993817463E-2</v>
      </c>
      <c r="D8" s="30">
        <f xml:space="preserve"> 'Raw Data'!F14 / 'Raw Data'!F104</f>
        <v>0.86909671797850718</v>
      </c>
      <c r="E8">
        <f xml:space="preserve"> 'Raw Data'!F104/'Raw Data'!F137</f>
        <v>3.4089108910891088</v>
      </c>
      <c r="F8" s="28">
        <f t="shared" si="0"/>
        <v>0.17613861386138616</v>
      </c>
    </row>
    <row r="11" spans="1:12" x14ac:dyDescent="0.2">
      <c r="A11" t="s">
        <v>372</v>
      </c>
      <c r="B11" t="s">
        <v>362</v>
      </c>
      <c r="C11" s="28" t="s">
        <v>363</v>
      </c>
      <c r="D11" t="s">
        <v>364</v>
      </c>
      <c r="E11" t="s">
        <v>365</v>
      </c>
      <c r="F11" s="28" t="s">
        <v>366</v>
      </c>
    </row>
    <row r="12" spans="1:12" x14ac:dyDescent="0.2">
      <c r="B12">
        <v>2024</v>
      </c>
      <c r="C12" s="28">
        <f xml:space="preserve"> 'Raw Data'!B268 / 'Raw Data'!B228</f>
        <v>8.1509807521894292E-3</v>
      </c>
      <c r="D12">
        <f xml:space="preserve"> 'Raw Data'!B228 / 'Raw Data'!B327</f>
        <v>0.73605006463744271</v>
      </c>
      <c r="E12">
        <f xml:space="preserve"> 'Raw Data'!B327/'Raw Data'!B362</f>
        <v>3.4477309562398699</v>
      </c>
      <c r="F12" s="28">
        <f xml:space="preserve"> C12*D12*E12</f>
        <v>2.0684764991896275E-2</v>
      </c>
      <c r="J12" t="s">
        <v>367</v>
      </c>
      <c r="L12" t="s">
        <v>373</v>
      </c>
    </row>
    <row r="13" spans="1:12" x14ac:dyDescent="0.2">
      <c r="B13">
        <v>2023</v>
      </c>
      <c r="C13" s="28">
        <f xml:space="preserve"> 'Raw Data'!C268 / 'Raw Data'!C228</f>
        <v>1.8629371143784542E-2</v>
      </c>
      <c r="D13">
        <f xml:space="preserve"> 'Raw Data'!C228 / 'Raw Data'!C327</f>
        <v>0.67535862882692665</v>
      </c>
      <c r="E13">
        <f xml:space="preserve"> 'Raw Data'!C327/'Raw Data'!C362</f>
        <v>3.4305496378355347</v>
      </c>
      <c r="F13" s="28">
        <f t="shared" ref="F13:F16" si="1" xml:space="preserve"> C13*D13*E13</f>
        <v>4.316148274392842E-2</v>
      </c>
      <c r="J13" t="s">
        <v>87</v>
      </c>
      <c r="L13" t="s">
        <v>374</v>
      </c>
    </row>
    <row r="14" spans="1:12" x14ac:dyDescent="0.2">
      <c r="B14">
        <v>2022</v>
      </c>
      <c r="C14" s="28">
        <f xml:space="preserve"> 'Raw Data'!D268 / 'Raw Data'!D228</f>
        <v>-2.3576053037790538E-2</v>
      </c>
      <c r="D14">
        <f xml:space="preserve"> 'Raw Data'!D228 / 'Raw Data'!D327</f>
        <v>0.59414753233043027</v>
      </c>
      <c r="E14">
        <f xml:space="preserve"> 'Raw Data'!D327/'Raw Data'!D362</f>
        <v>3.4697802197802194</v>
      </c>
      <c r="F14" s="28">
        <f t="shared" si="1"/>
        <v>-4.8603479853479854E-2</v>
      </c>
      <c r="J14" t="s">
        <v>118</v>
      </c>
      <c r="L14" t="s">
        <v>375</v>
      </c>
    </row>
    <row r="15" spans="1:12" x14ac:dyDescent="0.2">
      <c r="B15">
        <v>2021</v>
      </c>
      <c r="C15" s="28">
        <f xml:space="preserve"> 'Raw Data'!E268 / 'Raw Data'!E228</f>
        <v>-1.1704442552271283E-2</v>
      </c>
      <c r="D15">
        <f xml:space="preserve"> 'Raw Data'!E228 / 'Raw Data'!E327</f>
        <v>0.50649644030668128</v>
      </c>
      <c r="E15">
        <f xml:space="preserve"> 'Raw Data'!E327/'Raw Data'!E362</f>
        <v>3.3535353535353534</v>
      </c>
      <c r="F15" s="28">
        <f t="shared" si="1"/>
        <v>-1.988062442607897E-2</v>
      </c>
      <c r="J15" t="s">
        <v>224</v>
      </c>
      <c r="L15" t="s">
        <v>376</v>
      </c>
    </row>
    <row r="16" spans="1:12" x14ac:dyDescent="0.2">
      <c r="B16">
        <v>2020</v>
      </c>
      <c r="C16" s="28">
        <f xml:space="preserve"> 'Raw Data'!F268 / 'Raw Data'!F228</f>
        <v>-8.0631897029854446E-2</v>
      </c>
      <c r="D16">
        <f xml:space="preserve"> 'Raw Data'!F228 / 'Raw Data'!F327</f>
        <v>0.45526338702655639</v>
      </c>
      <c r="E16">
        <f xml:space="preserve"> 'Raw Data'!F327/'Raw Data'!F362</f>
        <v>2.6432681242807825</v>
      </c>
      <c r="F16" s="28">
        <f t="shared" si="1"/>
        <v>-9.703107019562715E-2</v>
      </c>
    </row>
    <row r="19" spans="1:12" x14ac:dyDescent="0.2">
      <c r="A19" t="s">
        <v>377</v>
      </c>
      <c r="B19" t="s">
        <v>362</v>
      </c>
      <c r="C19" s="28" t="s">
        <v>363</v>
      </c>
      <c r="D19" t="s">
        <v>364</v>
      </c>
      <c r="E19" t="s">
        <v>365</v>
      </c>
      <c r="F19" s="28" t="s">
        <v>366</v>
      </c>
    </row>
    <row r="20" spans="1:12" x14ac:dyDescent="0.2">
      <c r="B20">
        <v>2024</v>
      </c>
      <c r="C20" s="28">
        <f xml:space="preserve"> 'Raw Data'!B495 / 'Raw Data'!B460</f>
        <v>0.1737268500023969</v>
      </c>
      <c r="D20">
        <f xml:space="preserve"> 'Raw Data'!B460 / 'Raw Data'!B554</f>
        <v>0.84369396697000332</v>
      </c>
      <c r="E20">
        <f xml:space="preserve"> 'Raw Data'!B554/'Raw Data'!B587</f>
        <v>-1.0979129662522202</v>
      </c>
      <c r="F20" s="28">
        <f>C20*D20*E20</f>
        <v>-0.16092362344582592</v>
      </c>
      <c r="J20" t="s">
        <v>367</v>
      </c>
      <c r="L20" t="s">
        <v>378</v>
      </c>
    </row>
    <row r="21" spans="1:12" x14ac:dyDescent="0.2">
      <c r="B21">
        <v>2023</v>
      </c>
      <c r="C21" s="28">
        <f xml:space="preserve"> 'Raw Data'!C495 / 'Raw Data'!C460</f>
        <v>0.15254532017562927</v>
      </c>
      <c r="D21">
        <f xml:space="preserve"> 'Raw Data'!C460 / 'Raw Data'!C554</f>
        <v>1.1692675240176893</v>
      </c>
      <c r="E21">
        <f xml:space="preserve"> 'Raw Data'!C554/'Raw Data'!C587</f>
        <v>-0.86020988194140791</v>
      </c>
      <c r="F21" s="28">
        <f>C21*D21*E21</f>
        <v>-0.15343244425010932</v>
      </c>
      <c r="J21" t="s">
        <v>87</v>
      </c>
      <c r="L21" t="s">
        <v>379</v>
      </c>
    </row>
    <row r="22" spans="1:12" x14ac:dyDescent="0.2">
      <c r="B22">
        <v>2022</v>
      </c>
      <c r="C22" s="28">
        <f xml:space="preserve"> 'Raw Data'!D495 / 'Raw Data'!D460</f>
        <v>0.148103602595659</v>
      </c>
      <c r="D22">
        <f xml:space="preserve"> 'Raw Data'!D460 / 'Raw Data'!D554</f>
        <v>0.81311833337123884</v>
      </c>
      <c r="E22">
        <f xml:space="preserve"> 'Raw Data'!D554/'Raw Data'!D587</f>
        <v>-1.1248145305704784</v>
      </c>
      <c r="F22" s="28">
        <f>C22*D22*E22</f>
        <v>-0.13545663852647738</v>
      </c>
      <c r="J22" t="s">
        <v>118</v>
      </c>
      <c r="L22" t="s">
        <v>380</v>
      </c>
    </row>
    <row r="23" spans="1:12" x14ac:dyDescent="0.2">
      <c r="B23">
        <v>2021</v>
      </c>
      <c r="C23" s="28">
        <f xml:space="preserve"> 'Raw Data'!E495 / 'Raw Data'!E460</f>
        <v>0.15100884955752211</v>
      </c>
      <c r="D23">
        <f xml:space="preserve"> 'Raw Data'!E460 / 'Raw Data'!E554</f>
        <v>1.0807605493706722</v>
      </c>
      <c r="E23">
        <f xml:space="preserve"> 'Raw Data'!E554/'Raw Data'!E587</f>
        <v>-0.8445557350565428</v>
      </c>
      <c r="F23" s="28">
        <f>C23*D23*E23</f>
        <v>-0.13783521809369953</v>
      </c>
      <c r="J23" t="s">
        <v>224</v>
      </c>
      <c r="L23" t="s">
        <v>381</v>
      </c>
    </row>
    <row r="24" spans="1:12" x14ac:dyDescent="0.2">
      <c r="B24">
        <v>2020</v>
      </c>
      <c r="C24" s="28">
        <f xml:space="preserve"> 'Raw Data'!F495 / 'Raw Data'!F460</f>
        <v>9.3685945098669662E-2</v>
      </c>
      <c r="D24">
        <f xml:space="preserve"> 'Raw Data'!F460 / 'Raw Data'!F554</f>
        <v>1.1322927095658506</v>
      </c>
      <c r="E24">
        <f xml:space="preserve"> 'Raw Data'!F554/'Raw Data'!F587</f>
        <v>-0.64383240550835041</v>
      </c>
      <c r="F24" s="28">
        <f>C24*D24*E24</f>
        <v>-6.8297685320832108E-2</v>
      </c>
    </row>
    <row r="27" spans="1:12" x14ac:dyDescent="0.2">
      <c r="A27" t="s">
        <v>382</v>
      </c>
      <c r="B27" t="s">
        <v>362</v>
      </c>
      <c r="C27" s="28" t="s">
        <v>363</v>
      </c>
      <c r="D27" t="s">
        <v>364</v>
      </c>
      <c r="E27" t="s">
        <v>365</v>
      </c>
      <c r="F27" s="28" t="s">
        <v>366</v>
      </c>
    </row>
    <row r="28" spans="1:12" x14ac:dyDescent="0.2">
      <c r="B28">
        <v>2024</v>
      </c>
      <c r="C28" s="28">
        <f xml:space="preserve"> 'Raw Data'!B727 / 'Raw Data'!B685</f>
        <v>0.19684726453834944</v>
      </c>
      <c r="D28">
        <f xml:space="preserve"> 'Raw Data'!B685 / 'Raw Data'!B790</f>
        <v>1.1221941430057976</v>
      </c>
      <c r="E28">
        <f xml:space="preserve"> 'Raw Data'!B790/'Raw Data'!B824</f>
        <v>-0.87957635983263593</v>
      </c>
      <c r="F28" s="28">
        <f>C28*D28*E28</f>
        <v>-0.1942991631799163</v>
      </c>
      <c r="J28" t="s">
        <v>367</v>
      </c>
      <c r="L28" t="s">
        <v>383</v>
      </c>
    </row>
    <row r="29" spans="1:12" x14ac:dyDescent="0.2">
      <c r="B29">
        <v>2023</v>
      </c>
      <c r="C29" s="28">
        <f xml:space="preserve"> 'Raw Data'!C727 / 'Raw Data'!C685</f>
        <v>0.22569248162803843</v>
      </c>
      <c r="D29">
        <f xml:space="preserve"> 'Raw Data'!C685 / 'Raw Data'!C790</f>
        <v>1.1356122612742738</v>
      </c>
      <c r="E29">
        <f xml:space="preserve"> 'Raw Data'!C790/'Raw Data'!C824</f>
        <v>-0.79294986001527101</v>
      </c>
      <c r="F29" s="28">
        <f>C29*D29*E29</f>
        <v>-0.20323237465003816</v>
      </c>
      <c r="J29" t="s">
        <v>87</v>
      </c>
      <c r="L29" t="s">
        <v>384</v>
      </c>
    </row>
    <row r="30" spans="1:12" x14ac:dyDescent="0.2">
      <c r="B30">
        <v>2022</v>
      </c>
      <c r="C30" s="28">
        <f xml:space="preserve"> 'Raw Data'!D727 / 'Raw Data'!D685</f>
        <v>0.19365682548962293</v>
      </c>
      <c r="D30">
        <f xml:space="preserve"> 'Raw Data'!D685 / 'Raw Data'!D790</f>
        <v>1.1703729045501197</v>
      </c>
      <c r="E30">
        <f xml:space="preserve"> 'Raw Data'!D790/'Raw Data'!D824</f>
        <v>-0.65863001351960337</v>
      </c>
      <c r="F30" s="28">
        <f>C30*D30*E30</f>
        <v>-0.1492789544840018</v>
      </c>
      <c r="J30" t="s">
        <v>118</v>
      </c>
      <c r="L30" t="s">
        <v>385</v>
      </c>
    </row>
    <row r="31" spans="1:12" x14ac:dyDescent="0.2">
      <c r="B31">
        <v>2021</v>
      </c>
      <c r="C31" s="28">
        <f xml:space="preserve"> 'Raw Data'!E727 / 'Raw Data'!E685</f>
        <v>0.23921628189550426</v>
      </c>
      <c r="D31">
        <f xml:space="preserve"> 'Raw Data'!E685 / 'Raw Data'!E790</f>
        <v>1.1035869929601072</v>
      </c>
      <c r="E31">
        <f xml:space="preserve"> 'Raw Data'!E790/'Raw Data'!E824</f>
        <v>-0.71252836498268246</v>
      </c>
      <c r="F31" s="28">
        <f>C31*D31*E31</f>
        <v>-0.18810462199928338</v>
      </c>
      <c r="J31" t="s">
        <v>224</v>
      </c>
      <c r="L31" t="s">
        <v>386</v>
      </c>
    </row>
    <row r="32" spans="1:12" x14ac:dyDescent="0.2">
      <c r="B32">
        <v>2020</v>
      </c>
      <c r="C32" s="28">
        <f xml:space="preserve"> 'Raw Data'!F727 / 'Raw Data'!F685</f>
        <v>0.15994338287331919</v>
      </c>
      <c r="D32">
        <f xml:space="preserve"> 'Raw Data'!F685 / 'Raw Data'!F790</f>
        <v>0.96582365003417636</v>
      </c>
      <c r="E32">
        <f xml:space="preserve"> 'Raw Data'!F790/'Raw Data'!F824</f>
        <v>-0.74160435939678115</v>
      </c>
      <c r="F32" s="28">
        <f>C32*D32*E32</f>
        <v>-0.11456089215562033</v>
      </c>
    </row>
    <row r="34" spans="1:3" x14ac:dyDescent="0.2">
      <c r="A34" s="52" t="s">
        <v>387</v>
      </c>
    </row>
    <row r="35" spans="1:3" x14ac:dyDescent="0.2">
      <c r="C35" s="53" t="s">
        <v>388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CF1BF-E818-416A-967F-E99F789625B9}">
  <dimension ref="A1:R36"/>
  <sheetViews>
    <sheetView workbookViewId="0">
      <selection activeCell="E39" sqref="E39"/>
    </sheetView>
  </sheetViews>
  <sheetFormatPr baseColWidth="10" defaultColWidth="8.83203125" defaultRowHeight="15" x14ac:dyDescent="0.2"/>
  <cols>
    <col min="3" max="3" width="12.33203125" bestFit="1" customWidth="1"/>
    <col min="4" max="4" width="10.5" bestFit="1" customWidth="1"/>
    <col min="5" max="5" width="13.83203125" bestFit="1" customWidth="1"/>
    <col min="6" max="6" width="17" bestFit="1" customWidth="1"/>
    <col min="7" max="7" width="12.5" bestFit="1" customWidth="1"/>
    <col min="8" max="8" width="18.6640625" bestFit="1" customWidth="1"/>
  </cols>
  <sheetData>
    <row r="1" spans="1:18" x14ac:dyDescent="0.2">
      <c r="A1" s="52" t="s">
        <v>389</v>
      </c>
    </row>
    <row r="3" spans="1:18" x14ac:dyDescent="0.2">
      <c r="A3" t="s">
        <v>361</v>
      </c>
      <c r="B3" t="s">
        <v>362</v>
      </c>
      <c r="C3" t="s">
        <v>390</v>
      </c>
      <c r="D3" t="s">
        <v>363</v>
      </c>
      <c r="E3" t="s">
        <v>364</v>
      </c>
      <c r="F3" t="s">
        <v>391</v>
      </c>
      <c r="G3" t="s">
        <v>392</v>
      </c>
      <c r="H3" t="s">
        <v>393</v>
      </c>
    </row>
    <row r="4" spans="1:18" x14ac:dyDescent="0.2">
      <c r="B4">
        <v>2024</v>
      </c>
      <c r="C4">
        <f xml:space="preserve"> 'Raw Data'!B20 / 'Raw Data'!B14</f>
        <v>0.23711540671209749</v>
      </c>
      <c r="D4">
        <f xml:space="preserve"> 'Raw Data'!B46 / 'Raw Data'!B14</f>
        <v>0.13559426899654406</v>
      </c>
      <c r="E4">
        <f xml:space="preserve"> 'Raw Data'!B14 / 'Raw Data'!B104</f>
        <v>1.0762842465753424</v>
      </c>
      <c r="F4">
        <f xml:space="preserve"> 'Raw Data'!B16 / 'Raw Data'!B79</f>
        <v>176.14693877551022</v>
      </c>
      <c r="G4">
        <f xml:space="preserve"> 'Raw Data'!B84 / 'Raw Data'!B114</f>
        <v>1.5237850787132101</v>
      </c>
      <c r="H4">
        <f xml:space="preserve"> ('Raw Data'!B123 - 'Raw Data'!B137) / 'Raw Data'!B137</f>
        <v>0.87527352297592997</v>
      </c>
      <c r="L4" t="s">
        <v>367</v>
      </c>
      <c r="N4" t="s">
        <v>368</v>
      </c>
      <c r="P4" t="s">
        <v>394</v>
      </c>
      <c r="R4" t="s">
        <v>395</v>
      </c>
    </row>
    <row r="5" spans="1:18" x14ac:dyDescent="0.2">
      <c r="B5">
        <v>2023</v>
      </c>
      <c r="C5">
        <f xml:space="preserve"> 'Raw Data'!C20 / 'Raw Data'!C14</f>
        <v>0.22961829895862876</v>
      </c>
      <c r="D5">
        <f xml:space="preserve"> 'Raw Data'!C46 / 'Raw Data'!C14</f>
        <v>0.12446817131974554</v>
      </c>
      <c r="E5">
        <f xml:space="preserve"> 'Raw Data'!C14 / 'Raw Data'!C104</f>
        <v>1.0727667898282982</v>
      </c>
      <c r="F5">
        <f xml:space="preserve"> 'Raw Data'!C16 / 'Raw Data'!C79</f>
        <v>195</v>
      </c>
      <c r="G5">
        <f xml:space="preserve"> 'Raw Data'!C84 / 'Raw Data'!C114</f>
        <v>1.5728701727149235</v>
      </c>
      <c r="H5">
        <f xml:space="preserve"> ('Raw Data'!C123 - 'Raw Data'!C137) / 'Raw Data'!C137</f>
        <v>1.0052253429131286</v>
      </c>
      <c r="L5" t="s">
        <v>396</v>
      </c>
      <c r="N5" t="s">
        <v>397</v>
      </c>
      <c r="P5" t="s">
        <v>107</v>
      </c>
      <c r="R5" t="s">
        <v>398</v>
      </c>
    </row>
    <row r="6" spans="1:18" x14ac:dyDescent="0.2">
      <c r="B6">
        <v>2022</v>
      </c>
      <c r="C6">
        <f xml:space="preserve"> 'Raw Data'!D20 / 'Raw Data'!D14</f>
        <v>0.20560065781092565</v>
      </c>
      <c r="D6">
        <f xml:space="preserve"> 'Raw Data'!D46 / 'Raw Data'!D14</f>
        <v>0.10412637381727216</v>
      </c>
      <c r="E6">
        <f xml:space="preserve"> 'Raw Data'!D14 / 'Raw Data'!D104</f>
        <v>1.0806883604505633</v>
      </c>
      <c r="F6">
        <f xml:space="preserve"> 'Raw Data'!D16 / 'Raw Data'!D79</f>
        <v>190.53888888888889</v>
      </c>
      <c r="G6">
        <f xml:space="preserve"> 'Raw Data'!D84 / 'Raw Data'!D114</f>
        <v>1.2756264236902051</v>
      </c>
      <c r="H6">
        <f xml:space="preserve"> ('Raw Data'!D123 - 'Raw Data'!D137) / 'Raw Data'!D137</f>
        <v>1.3741554054054055</v>
      </c>
      <c r="L6" t="s">
        <v>87</v>
      </c>
      <c r="N6" t="s">
        <v>369</v>
      </c>
      <c r="P6" t="s">
        <v>114</v>
      </c>
      <c r="R6" t="s">
        <v>399</v>
      </c>
    </row>
    <row r="7" spans="1:18" x14ac:dyDescent="0.2">
      <c r="B7">
        <v>2021</v>
      </c>
      <c r="C7">
        <f xml:space="preserve"> 'Raw Data'!E20 / 'Raw Data'!E14</f>
        <v>0.19244478011421606</v>
      </c>
      <c r="D7">
        <f xml:space="preserve"> 'Raw Data'!E46 / 'Raw Data'!E14</f>
        <v>8.6523300340528145E-2</v>
      </c>
      <c r="E7">
        <f xml:space="preserve"> 'Raw Data'!E14 / 'Raw Data'!E104</f>
        <v>0.98732339089481946</v>
      </c>
      <c r="F7">
        <f xml:space="preserve"> 'Raw Data'!E16 / 'Raw Data'!E79</f>
        <v>184.68787878787879</v>
      </c>
      <c r="G7">
        <f xml:space="preserve"> 'Raw Data'!E84 / 'Raw Data'!E114</f>
        <v>1.5817786425546525</v>
      </c>
      <c r="H7">
        <f xml:space="preserve"> ('Raw Data'!E123 - 'Raw Data'!E137) / 'Raw Data'!E137</f>
        <v>1.327818894209839</v>
      </c>
      <c r="L7" t="s">
        <v>118</v>
      </c>
      <c r="N7" t="s">
        <v>370</v>
      </c>
      <c r="P7" t="s">
        <v>122</v>
      </c>
      <c r="R7" t="s">
        <v>400</v>
      </c>
    </row>
    <row r="8" spans="1:18" x14ac:dyDescent="0.2">
      <c r="B8">
        <v>2020</v>
      </c>
      <c r="C8">
        <f xml:space="preserve"> 'Raw Data'!F20 / 'Raw Data'!F14</f>
        <v>0.13409417504929319</v>
      </c>
      <c r="D8">
        <f xml:space="preserve"> 'Raw Data'!F46 / 'Raw Data'!F14</f>
        <v>5.9452594993817463E-2</v>
      </c>
      <c r="E8">
        <f xml:space="preserve"> 'Raw Data'!F14 / 'Raw Data'!F104</f>
        <v>0.86909671797850718</v>
      </c>
      <c r="F8">
        <f xml:space="preserve"> 'Raw Data'!F16 / 'Raw Data'!F79</f>
        <v>199.31153846153848</v>
      </c>
      <c r="G8">
        <f xml:space="preserve"> 'Raw Data'!F84 / 'Raw Data'!F114</f>
        <v>1.7270737046947213</v>
      </c>
      <c r="H8">
        <f xml:space="preserve"> ('Raw Data'!F123 - 'Raw Data'!F137) / 'Raw Data'!F137</f>
        <v>1.4089108910891088</v>
      </c>
      <c r="L8" t="s">
        <v>401</v>
      </c>
      <c r="N8" t="s">
        <v>402</v>
      </c>
      <c r="P8" t="s">
        <v>224</v>
      </c>
      <c r="R8" t="s">
        <v>371</v>
      </c>
    </row>
    <row r="11" spans="1:18" x14ac:dyDescent="0.2">
      <c r="A11" t="s">
        <v>372</v>
      </c>
      <c r="B11" t="s">
        <v>362</v>
      </c>
      <c r="C11" t="s">
        <v>390</v>
      </c>
      <c r="D11" t="s">
        <v>363</v>
      </c>
      <c r="E11" t="s">
        <v>364</v>
      </c>
      <c r="F11" t="s">
        <v>391</v>
      </c>
      <c r="G11" t="s">
        <v>392</v>
      </c>
      <c r="H11" t="s">
        <v>393</v>
      </c>
    </row>
    <row r="12" spans="1:18" x14ac:dyDescent="0.2">
      <c r="B12">
        <v>2024</v>
      </c>
      <c r="C12">
        <f xml:space="preserve"> 'Raw Data'!B235 / 'Raw Data'!B228</f>
        <v>0.15795818331324196</v>
      </c>
      <c r="D12">
        <f xml:space="preserve"> 'Raw Data'!B268 / 'Raw Data'!B228</f>
        <v>8.1509807521894292E-3</v>
      </c>
      <c r="E12">
        <f xml:space="preserve"> 'Raw Data'!B228 / 'Raw Data'!B327</f>
        <v>0.73605006463744271</v>
      </c>
      <c r="F12">
        <f xml:space="preserve"> 'Raw Data'!B230 / 'Raw Data'!B301</f>
        <v>175.79166666666666</v>
      </c>
      <c r="G12">
        <f xml:space="preserve"> 'Raw Data'!B306 / 'Raw Data'!B337</f>
        <v>1.9657252682718487</v>
      </c>
      <c r="H12">
        <f xml:space="preserve"> ('Raw Data'!B348 - 'Raw Data'!B362) / 'Raw Data'!B362</f>
        <v>1.4477309562398704</v>
      </c>
      <c r="L12" t="s">
        <v>367</v>
      </c>
      <c r="N12" t="s">
        <v>373</v>
      </c>
      <c r="P12" t="s">
        <v>394</v>
      </c>
      <c r="R12" t="s">
        <v>403</v>
      </c>
    </row>
    <row r="13" spans="1:18" x14ac:dyDescent="0.2">
      <c r="B13">
        <v>2023</v>
      </c>
      <c r="C13">
        <f xml:space="preserve"> 'Raw Data'!C235 / 'Raw Data'!C228</f>
        <v>0.14335236729101727</v>
      </c>
      <c r="D13">
        <f xml:space="preserve"> 'Raw Data'!C268 / 'Raw Data'!C228</f>
        <v>1.8629371143784542E-2</v>
      </c>
      <c r="E13">
        <f xml:space="preserve"> 'Raw Data'!C228 / 'Raw Data'!C327</f>
        <v>0.67535862882692665</v>
      </c>
      <c r="F13">
        <f xml:space="preserve"> 'Raw Data'!C230 / 'Raw Data'!C301</f>
        <v>172.52407407407406</v>
      </c>
      <c r="G13">
        <f xml:space="preserve"> 'Raw Data'!C306 / 'Raw Data'!C337</f>
        <v>2.0381544462729324</v>
      </c>
      <c r="H13">
        <f xml:space="preserve"> ('Raw Data'!C348 - 'Raw Data'!C362) / 'Raw Data'!C362</f>
        <v>1.4305496378355351</v>
      </c>
      <c r="L13" t="s">
        <v>396</v>
      </c>
      <c r="N13" t="s">
        <v>404</v>
      </c>
      <c r="P13" t="s">
        <v>107</v>
      </c>
      <c r="R13" t="s">
        <v>405</v>
      </c>
    </row>
    <row r="14" spans="1:18" x14ac:dyDescent="0.2">
      <c r="B14">
        <v>2022</v>
      </c>
      <c r="C14">
        <f xml:space="preserve"> 'Raw Data'!D235 / 'Raw Data'!D228</f>
        <v>0.12114515430487846</v>
      </c>
      <c r="D14">
        <f xml:space="preserve"> 'Raw Data'!D268 / 'Raw Data'!D228</f>
        <v>-2.3576053037790538E-2</v>
      </c>
      <c r="E14">
        <f xml:space="preserve"> 'Raw Data'!D228 / 'Raw Data'!D327</f>
        <v>0.59414753233043027</v>
      </c>
      <c r="F14">
        <f xml:space="preserve"> 'Raw Data'!D230 / 'Raw Data'!D301</f>
        <v>188.42857142857142</v>
      </c>
      <c r="G14">
        <f xml:space="preserve"> 'Raw Data'!D306 / 'Raw Data'!D337</f>
        <v>2.3287300297860818</v>
      </c>
      <c r="H14">
        <f xml:space="preserve"> ('Raw Data'!D348 - 'Raw Data'!D362) / 'Raw Data'!D362</f>
        <v>1.4697802197802197</v>
      </c>
      <c r="L14" t="s">
        <v>87</v>
      </c>
      <c r="N14" t="s">
        <v>374</v>
      </c>
      <c r="P14" t="s">
        <v>114</v>
      </c>
      <c r="R14" t="s">
        <v>406</v>
      </c>
    </row>
    <row r="15" spans="1:18" x14ac:dyDescent="0.2">
      <c r="B15">
        <v>2021</v>
      </c>
      <c r="C15">
        <f xml:space="preserve"> 'Raw Data'!E235 / 'Raw Data'!E228</f>
        <v>0.11328711024611766</v>
      </c>
      <c r="D15">
        <f xml:space="preserve"> 'Raw Data'!E268 / 'Raw Data'!E228</f>
        <v>-1.1704442552271283E-2</v>
      </c>
      <c r="E15">
        <f xml:space="preserve"> 'Raw Data'!E228 / 'Raw Data'!E327</f>
        <v>0.50649644030668128</v>
      </c>
      <c r="F15">
        <f xml:space="preserve"> 'Raw Data'!E230 / 'Raw Data'!E301</f>
        <v>168.22307692307695</v>
      </c>
      <c r="G15">
        <f xml:space="preserve"> 'Raw Data'!E306 / 'Raw Data'!E337</f>
        <v>3.3720164609053498</v>
      </c>
      <c r="H15">
        <f xml:space="preserve"> ('Raw Data'!E348 - 'Raw Data'!E362) / 'Raw Data'!E362</f>
        <v>1.3535353535353536</v>
      </c>
      <c r="L15" t="s">
        <v>118</v>
      </c>
      <c r="N15" t="s">
        <v>375</v>
      </c>
      <c r="P15" t="s">
        <v>122</v>
      </c>
      <c r="R15" t="s">
        <v>407</v>
      </c>
    </row>
    <row r="16" spans="1:18" x14ac:dyDescent="0.2">
      <c r="B16">
        <v>2020</v>
      </c>
      <c r="C16">
        <f xml:space="preserve"> 'Raw Data'!F235 / 'Raw Data'!F228</f>
        <v>7.2025551284258027E-2</v>
      </c>
      <c r="D16">
        <f xml:space="preserve"> 'Raw Data'!F268 / 'Raw Data'!F228</f>
        <v>-8.0631897029854446E-2</v>
      </c>
      <c r="E16">
        <f xml:space="preserve"> 'Raw Data'!F228 / 'Raw Data'!F327</f>
        <v>0.45526338702655639</v>
      </c>
      <c r="F16">
        <f xml:space="preserve"> 'Raw Data'!F230 / 'Raw Data'!F301</f>
        <v>167.31379310344826</v>
      </c>
      <c r="G16">
        <f xml:space="preserve"> 'Raw Data'!F306 / 'Raw Data'!F337</f>
        <v>1.852155683164707</v>
      </c>
      <c r="H16">
        <f xml:space="preserve"> ('Raw Data'!F348 - 'Raw Data'!F362) / 'Raw Data'!F362</f>
        <v>0.64326812428078251</v>
      </c>
      <c r="L16" t="s">
        <v>401</v>
      </c>
      <c r="N16" t="s">
        <v>408</v>
      </c>
      <c r="P16" t="s">
        <v>224</v>
      </c>
      <c r="R16" t="s">
        <v>376</v>
      </c>
    </row>
    <row r="19" spans="1:18" x14ac:dyDescent="0.2">
      <c r="A19" t="s">
        <v>377</v>
      </c>
      <c r="B19" t="s">
        <v>362</v>
      </c>
      <c r="C19" t="s">
        <v>390</v>
      </c>
      <c r="D19" t="s">
        <v>363</v>
      </c>
      <c r="E19" t="s">
        <v>364</v>
      </c>
      <c r="F19" t="s">
        <v>391</v>
      </c>
      <c r="G19" t="s">
        <v>392</v>
      </c>
      <c r="H19" t="s">
        <v>393</v>
      </c>
    </row>
    <row r="20" spans="1:18" x14ac:dyDescent="0.2">
      <c r="B20">
        <v>2024</v>
      </c>
      <c r="C20">
        <f xml:space="preserve"> 'Raw Data'!B467 / 'Raw Data'!B460</f>
        <v>0.82243812019622586</v>
      </c>
      <c r="D20">
        <f xml:space="preserve"> 'Raw Data'!B495 / 'Raw Data'!B460</f>
        <v>0.1737268500023969</v>
      </c>
      <c r="E20">
        <f xml:space="preserve"> 'Raw Data'!B460 / 'Raw Data'!B554</f>
        <v>0.84369396697000332</v>
      </c>
      <c r="F20" t="str">
        <f xml:space="preserve"> IFERROR('Raw Data'!B462 / 'Raw Data'!B529, "N/A")</f>
        <v>N/A</v>
      </c>
      <c r="G20">
        <f xml:space="preserve"> 'Raw Data'!B533 / 'Raw Data'!B564</f>
        <v>4.5244739249771273</v>
      </c>
      <c r="H20">
        <f xml:space="preserve"> ('Raw Data'!B575 - 'Raw Data'!B587) / 'Raw Data'!B587</f>
        <v>-3.0978389579632921</v>
      </c>
      <c r="L20" t="s">
        <v>367</v>
      </c>
      <c r="N20" t="s">
        <v>378</v>
      </c>
      <c r="P20" t="s">
        <v>394</v>
      </c>
      <c r="R20" t="s">
        <v>409</v>
      </c>
    </row>
    <row r="21" spans="1:18" x14ac:dyDescent="0.2">
      <c r="B21">
        <v>2023</v>
      </c>
      <c r="C21">
        <f xml:space="preserve"> 'Raw Data'!C467 / 'Raw Data'!C460</f>
        <v>0.81765421901491109</v>
      </c>
      <c r="D21">
        <f xml:space="preserve"> 'Raw Data'!C495 / 'Raw Data'!C460</f>
        <v>0.15254532017562927</v>
      </c>
      <c r="E21">
        <f xml:space="preserve"> 'Raw Data'!C460 / 'Raw Data'!C554</f>
        <v>1.1692675240176893</v>
      </c>
      <c r="F21">
        <f xml:space="preserve"> 'Raw Data'!C462 / 'Raw Data'!C529</f>
        <v>155.35185185185185</v>
      </c>
      <c r="G21">
        <f xml:space="preserve"> 'Raw Data'!C533 / 'Raw Data'!C564</f>
        <v>2.0329577464788735</v>
      </c>
      <c r="H21">
        <f xml:space="preserve"> ('Raw Data'!C575 - 'Raw Data'!C587) / 'Raw Data'!C587</f>
        <v>-2.8600787057280277</v>
      </c>
      <c r="L21" t="s">
        <v>396</v>
      </c>
      <c r="N21" t="s">
        <v>410</v>
      </c>
      <c r="P21" t="s">
        <v>107</v>
      </c>
      <c r="R21" t="s">
        <v>411</v>
      </c>
    </row>
    <row r="22" spans="1:18" x14ac:dyDescent="0.2">
      <c r="B22">
        <v>2022</v>
      </c>
      <c r="C22">
        <f xml:space="preserve"> 'Raw Data'!D467 / 'Raw Data'!D460</f>
        <v>0.79220742895502361</v>
      </c>
      <c r="D22">
        <f xml:space="preserve"> 'Raw Data'!D495 / 'Raw Data'!D460</f>
        <v>0.148103602595659</v>
      </c>
      <c r="E22">
        <f xml:space="preserve"> 'Raw Data'!D460 / 'Raw Data'!D554</f>
        <v>0.81311833337123884</v>
      </c>
      <c r="F22">
        <f xml:space="preserve"> 'Raw Data'!D462 / 'Raw Data'!D529</f>
        <v>190.4871794871795</v>
      </c>
      <c r="G22">
        <f xml:space="preserve"> 'Raw Data'!D533 / 'Raw Data'!D564</f>
        <v>3.6319500080115366</v>
      </c>
      <c r="H22">
        <f xml:space="preserve"> ('Raw Data'!D575 - 'Raw Data'!D587) / 'Raw Data'!D587</f>
        <v>-3.1248401125607574</v>
      </c>
      <c r="L22" t="s">
        <v>87</v>
      </c>
      <c r="N22" t="s">
        <v>379</v>
      </c>
      <c r="P22" t="s">
        <v>114</v>
      </c>
      <c r="R22" t="s">
        <v>412</v>
      </c>
    </row>
    <row r="23" spans="1:18" x14ac:dyDescent="0.2">
      <c r="B23">
        <v>2021</v>
      </c>
      <c r="C23">
        <f xml:space="preserve"> 'Raw Data'!E467 / 'Raw Data'!E460</f>
        <v>0.76863716814159289</v>
      </c>
      <c r="D23">
        <f xml:space="preserve"> 'Raw Data'!E495 / 'Raw Data'!E460</f>
        <v>0.15100884955752211</v>
      </c>
      <c r="E23">
        <f xml:space="preserve"> 'Raw Data'!E460 / 'Raw Data'!E554</f>
        <v>1.0807605493706722</v>
      </c>
      <c r="F23">
        <f xml:space="preserve"> 'Raw Data'!E462 / 'Raw Data'!E529</f>
        <v>136.16666666666666</v>
      </c>
      <c r="G23">
        <f xml:space="preserve"> 'Raw Data'!E533 / 'Raw Data'!E564</f>
        <v>1.7678931451612905</v>
      </c>
      <c r="H23">
        <f xml:space="preserve"> ('Raw Data'!E575 - 'Raw Data'!E587) / 'Raw Data'!E587</f>
        <v>-2.8445880452342487</v>
      </c>
      <c r="L23" t="s">
        <v>118</v>
      </c>
      <c r="N23" t="s">
        <v>380</v>
      </c>
      <c r="P23" t="s">
        <v>122</v>
      </c>
      <c r="R23" t="s">
        <v>413</v>
      </c>
    </row>
    <row r="24" spans="1:18" x14ac:dyDescent="0.2">
      <c r="B24">
        <v>2020</v>
      </c>
      <c r="C24">
        <f xml:space="preserve"> 'Raw Data'!F467 / 'Raw Data'!F460</f>
        <v>0.77452674731723004</v>
      </c>
      <c r="D24">
        <f xml:space="preserve"> 'Raw Data'!F495 / 'Raw Data'!F460</f>
        <v>9.3685945098669662E-2</v>
      </c>
      <c r="E24">
        <f xml:space="preserve"> 'Raw Data'!F460 / 'Raw Data'!F554</f>
        <v>1.1322927095658506</v>
      </c>
      <c r="F24">
        <f xml:space="preserve"> 'Raw Data'!F462 / 'Raw Data'!F529</f>
        <v>140.25</v>
      </c>
      <c r="G24">
        <f xml:space="preserve"> 'Raw Data'!F533 / 'Raw Data'!F564</f>
        <v>1.4388745789577968</v>
      </c>
      <c r="H24">
        <f xml:space="preserve"> ('Raw Data'!F575 - 'Raw Data'!F587) / 'Raw Data'!F587</f>
        <v>-2.6440082039261648</v>
      </c>
      <c r="L24" t="s">
        <v>401</v>
      </c>
      <c r="N24" t="s">
        <v>414</v>
      </c>
      <c r="P24" t="s">
        <v>224</v>
      </c>
      <c r="R24" t="s">
        <v>381</v>
      </c>
    </row>
    <row r="27" spans="1:18" x14ac:dyDescent="0.2">
      <c r="A27" t="s">
        <v>382</v>
      </c>
      <c r="B27" t="s">
        <v>362</v>
      </c>
      <c r="C27" t="s">
        <v>390</v>
      </c>
      <c r="D27" t="s">
        <v>363</v>
      </c>
      <c r="E27" t="s">
        <v>364</v>
      </c>
      <c r="F27" t="s">
        <v>391</v>
      </c>
      <c r="G27" t="s">
        <v>392</v>
      </c>
      <c r="H27" t="s">
        <v>393</v>
      </c>
    </row>
    <row r="28" spans="1:18" x14ac:dyDescent="0.2">
      <c r="B28">
        <v>2024</v>
      </c>
      <c r="C28">
        <f xml:space="preserve"> 'Raw Data'!B692 / 'Raw Data'!B685</f>
        <v>0.4747648695191416</v>
      </c>
      <c r="D28">
        <f xml:space="preserve"> 'Raw Data'!B727 / 'Raw Data'!B685</f>
        <v>0.19684726453834944</v>
      </c>
      <c r="E28">
        <f xml:space="preserve"> 'Raw Data'!B685 / 'Raw Data'!B790</f>
        <v>1.1221941430057976</v>
      </c>
      <c r="F28" t="str">
        <f xml:space="preserve"> IFERROR('Raw Data'!B687 / 'Raw Data'!B764,"N/A")</f>
        <v>N/A</v>
      </c>
      <c r="G28">
        <f xml:space="preserve"> 'Raw Data'!B769 / 'Raw Data'!B801</f>
        <v>1.4743892828999212</v>
      </c>
      <c r="H28">
        <f xml:space="preserve"> ('Raw Data'!B811 - 'Raw Data'!B824) / 'Raw Data'!B824</f>
        <v>-2.8795763598326358</v>
      </c>
      <c r="L28" t="s">
        <v>367</v>
      </c>
      <c r="N28" t="s">
        <v>383</v>
      </c>
      <c r="P28" t="s">
        <v>394</v>
      </c>
      <c r="R28" t="s">
        <v>415</v>
      </c>
    </row>
    <row r="29" spans="1:18" x14ac:dyDescent="0.2">
      <c r="B29">
        <v>2023</v>
      </c>
      <c r="C29">
        <f xml:space="preserve"> 'Raw Data'!C692 / 'Raw Data'!C685</f>
        <v>0.49406444318824194</v>
      </c>
      <c r="D29">
        <f xml:space="preserve"> 'Raw Data'!C727 / 'Raw Data'!C685</f>
        <v>0.22569248162803843</v>
      </c>
      <c r="E29">
        <f xml:space="preserve"> 'Raw Data'!C685 / 'Raw Data'!C790</f>
        <v>1.1356122612742738</v>
      </c>
      <c r="F29" t="str">
        <f xml:space="preserve"> IFERROR('Raw Data'!C687 / 'Raw Data'!C764,"N/A")</f>
        <v>N/A</v>
      </c>
      <c r="G29">
        <f xml:space="preserve"> 'Raw Data'!C769 / 'Raw Data'!C801</f>
        <v>1.2599843382928739</v>
      </c>
      <c r="H29">
        <f xml:space="preserve"> ('Raw Data'!C811 - 'Raw Data'!C824) / 'Raw Data'!C824</f>
        <v>-2.7929498600152711</v>
      </c>
      <c r="L29" t="s">
        <v>396</v>
      </c>
      <c r="N29" t="s">
        <v>416</v>
      </c>
      <c r="P29" t="s">
        <v>107</v>
      </c>
      <c r="R29" t="s">
        <v>417</v>
      </c>
    </row>
    <row r="30" spans="1:18" x14ac:dyDescent="0.2">
      <c r="B30">
        <v>2022</v>
      </c>
      <c r="C30">
        <f xml:space="preserve"> 'Raw Data'!D692 / 'Raw Data'!D685</f>
        <v>0.48333820520315696</v>
      </c>
      <c r="D30">
        <f xml:space="preserve"> 'Raw Data'!D727 / 'Raw Data'!D685</f>
        <v>0.19365682548962293</v>
      </c>
      <c r="E30">
        <f xml:space="preserve"> 'Raw Data'!D685 / 'Raw Data'!D790</f>
        <v>1.1703729045501197</v>
      </c>
      <c r="F30" t="str">
        <f xml:space="preserve"> IFERROR('Raw Data'!D687 / 'Raw Data'!D764,"N/A")</f>
        <v>N/A</v>
      </c>
      <c r="G30">
        <f xml:space="preserve"> 'Raw Data'!D769 / 'Raw Data'!D801</f>
        <v>0.96636636636636641</v>
      </c>
      <c r="H30">
        <f xml:space="preserve"> ('Raw Data'!D811 - 'Raw Data'!D824) / 'Raw Data'!D824</f>
        <v>-2.6586300135196033</v>
      </c>
      <c r="L30" t="s">
        <v>87</v>
      </c>
      <c r="N30" t="s">
        <v>384</v>
      </c>
      <c r="P30" t="s">
        <v>114</v>
      </c>
      <c r="R30" t="s">
        <v>418</v>
      </c>
    </row>
    <row r="31" spans="1:18" x14ac:dyDescent="0.2">
      <c r="B31">
        <v>2021</v>
      </c>
      <c r="C31">
        <f xml:space="preserve"> 'Raw Data'!E692 / 'Raw Data'!E685</f>
        <v>0.48086269744835963</v>
      </c>
      <c r="D31">
        <f xml:space="preserve"> 'Raw Data'!E727 / 'Raw Data'!E685</f>
        <v>0.23921628189550426</v>
      </c>
      <c r="E31">
        <f xml:space="preserve"> 'Raw Data'!E685 / 'Raw Data'!E790</f>
        <v>1.1035869929601072</v>
      </c>
      <c r="F31" t="str">
        <f xml:space="preserve"> IFERROR('Raw Data'!E687 / 'Raw Data'!E764,"N/A")</f>
        <v>N/A</v>
      </c>
      <c r="G31">
        <f xml:space="preserve"> 'Raw Data'!E769 / 'Raw Data'!E801</f>
        <v>1.0826855123674912</v>
      </c>
      <c r="H31">
        <f xml:space="preserve"> ('Raw Data'!E811 - 'Raw Data'!E824) / 'Raw Data'!E824</f>
        <v>-2.7125283649826826</v>
      </c>
      <c r="L31" t="s">
        <v>118</v>
      </c>
      <c r="N31" t="s">
        <v>385</v>
      </c>
      <c r="P31" t="s">
        <v>122</v>
      </c>
      <c r="R31" t="s">
        <v>419</v>
      </c>
    </row>
    <row r="32" spans="1:18" x14ac:dyDescent="0.2">
      <c r="B32">
        <v>2020</v>
      </c>
      <c r="C32">
        <f xml:space="preserve"> 'Raw Data'!F692 / 'Raw Data'!F685</f>
        <v>0.47540693559801839</v>
      </c>
      <c r="D32">
        <f xml:space="preserve"> 'Raw Data'!F727 / 'Raw Data'!F685</f>
        <v>0.15994338287331919</v>
      </c>
      <c r="E32">
        <f xml:space="preserve"> 'Raw Data'!F685 / 'Raw Data'!F790</f>
        <v>0.96582365003417636</v>
      </c>
      <c r="F32" t="str">
        <f xml:space="preserve"> IFERROR('Raw Data'!F687 / 'Raw Data'!F764,"N/A")</f>
        <v>N/A</v>
      </c>
      <c r="G32">
        <f xml:space="preserve"> 'Raw Data'!F769 / 'Raw Data'!F801</f>
        <v>1.0083582089552239</v>
      </c>
      <c r="H32">
        <f xml:space="preserve"> ('Raw Data'!F811 - 'Raw Data'!F824) / 'Raw Data'!F824</f>
        <v>-2.7416043593967809</v>
      </c>
      <c r="L32" t="s">
        <v>401</v>
      </c>
      <c r="N32" t="s">
        <v>420</v>
      </c>
      <c r="P32" t="s">
        <v>224</v>
      </c>
      <c r="R32" t="s">
        <v>386</v>
      </c>
    </row>
    <row r="34" spans="1:3" x14ac:dyDescent="0.2">
      <c r="A34" s="52" t="s">
        <v>421</v>
      </c>
    </row>
    <row r="35" spans="1:3" x14ac:dyDescent="0.2">
      <c r="C35" s="54" t="s">
        <v>422</v>
      </c>
    </row>
    <row r="36" spans="1:3" x14ac:dyDescent="0.2">
      <c r="C36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942C5-FE40-4044-A4EB-8468ADCB3B1F}">
  <dimension ref="A1:H15"/>
  <sheetViews>
    <sheetView workbookViewId="0">
      <selection activeCell="I11" sqref="I11"/>
    </sheetView>
  </sheetViews>
  <sheetFormatPr baseColWidth="10" defaultColWidth="8.83203125" defaultRowHeight="15" x14ac:dyDescent="0.2"/>
  <cols>
    <col min="2" max="2" width="11.83203125" bestFit="1" customWidth="1"/>
    <col min="3" max="3" width="11.5" bestFit="1" customWidth="1"/>
    <col min="4" max="5" width="14.5" bestFit="1" customWidth="1"/>
    <col min="6" max="6" width="7.33203125" customWidth="1"/>
    <col min="7" max="7" width="19.5" bestFit="1" customWidth="1"/>
  </cols>
  <sheetData>
    <row r="1" spans="1:8" x14ac:dyDescent="0.2">
      <c r="A1" s="52" t="s">
        <v>423</v>
      </c>
    </row>
    <row r="3" spans="1:8" x14ac:dyDescent="0.2">
      <c r="A3" t="s">
        <v>330</v>
      </c>
      <c r="B3" t="s">
        <v>424</v>
      </c>
      <c r="C3" t="s">
        <v>425</v>
      </c>
      <c r="D3" t="s">
        <v>426</v>
      </c>
      <c r="E3" t="s">
        <v>427</v>
      </c>
      <c r="F3" t="s">
        <v>428</v>
      </c>
      <c r="G3" t="s">
        <v>162</v>
      </c>
      <c r="H3" t="s">
        <v>429</v>
      </c>
    </row>
    <row r="4" spans="1:8" x14ac:dyDescent="0.2">
      <c r="A4" t="s">
        <v>361</v>
      </c>
      <c r="B4" s="41">
        <f>'Raw Data'!A2</f>
        <v>31.63</v>
      </c>
      <c r="C4" s="41">
        <f>'Raw Data'!X8</f>
        <v>1.1599999999999999</v>
      </c>
      <c r="D4">
        <f xml:space="preserve"> 'Raw Data'!X99</f>
        <v>27.3</v>
      </c>
      <c r="E4">
        <f xml:space="preserve"> 'Raw Data'!X114</f>
        <v>9</v>
      </c>
      <c r="F4" s="29">
        <f>'Raw Data'!X108</f>
        <v>3.5</v>
      </c>
      <c r="G4">
        <f xml:space="preserve"> 'Raw Data'!X94</f>
        <v>2.44</v>
      </c>
      <c r="H4">
        <f>'Raw Data'!X105</f>
        <v>12.9</v>
      </c>
    </row>
    <row r="5" spans="1:8" x14ac:dyDescent="0.2">
      <c r="A5" t="s">
        <v>372</v>
      </c>
      <c r="B5" s="41">
        <f>'Raw Data'!A216</f>
        <v>88.2</v>
      </c>
      <c r="C5">
        <f xml:space="preserve"> 'Raw Data'!X222</f>
        <v>1.33</v>
      </c>
      <c r="D5">
        <f xml:space="preserve"> 'Raw Data'!X323</f>
        <v>66.400000000000006</v>
      </c>
      <c r="E5">
        <f xml:space="preserve"> 'Raw Data'!X338</f>
        <v>34.1</v>
      </c>
      <c r="F5">
        <f xml:space="preserve"> 'Raw Data'!X332</f>
        <v>2.6</v>
      </c>
      <c r="G5">
        <f xml:space="preserve"> 'Raw Data'!X318</f>
        <v>12.7</v>
      </c>
      <c r="H5">
        <f xml:space="preserve"> 'Raw Data'!X329</f>
        <v>6.9</v>
      </c>
    </row>
    <row r="6" spans="1:8" x14ac:dyDescent="0.2">
      <c r="A6" t="s">
        <v>377</v>
      </c>
      <c r="B6" s="41">
        <f>'Raw Data'!A448</f>
        <v>246.01</v>
      </c>
      <c r="C6">
        <f xml:space="preserve"> 'Raw Data'!X454</f>
        <v>3.92</v>
      </c>
      <c r="D6">
        <f xml:space="preserve"> 'Raw Data'!X551</f>
        <v>62.8</v>
      </c>
      <c r="E6">
        <f xml:space="preserve"> 'Raw Data'!X565</f>
        <v>25.2</v>
      </c>
      <c r="F6">
        <f xml:space="preserve"> 'Raw Data'!X559</f>
        <v>9.8000000000000007</v>
      </c>
      <c r="G6">
        <f xml:space="preserve"> 'Raw Data'!X546</f>
        <v>-24.41</v>
      </c>
      <c r="H6" t="s">
        <v>430</v>
      </c>
    </row>
    <row r="7" spans="1:8" x14ac:dyDescent="0.2">
      <c r="A7" t="s">
        <v>382</v>
      </c>
      <c r="B7" s="41">
        <f>'Raw Data'!A673</f>
        <v>152.97999999999999</v>
      </c>
      <c r="C7">
        <f xml:space="preserve"> 'Raw Data'!X679</f>
        <v>6.08</v>
      </c>
      <c r="D7">
        <f xml:space="preserve"> 'Raw Data'!X777</f>
        <v>25.2</v>
      </c>
      <c r="E7">
        <f xml:space="preserve"> 'Raw Data'!X791</f>
        <v>29.4</v>
      </c>
      <c r="F7">
        <f xml:space="preserve"> 'Raw Data'!X785</f>
        <v>5.2</v>
      </c>
      <c r="G7">
        <f xml:space="preserve"> 'Raw Data'!X773</f>
        <v>-27.49</v>
      </c>
      <c r="H7" t="s">
        <v>430</v>
      </c>
    </row>
    <row r="9" spans="1:8" x14ac:dyDescent="0.2">
      <c r="A9" t="s">
        <v>431</v>
      </c>
    </row>
    <row r="10" spans="1:8" x14ac:dyDescent="0.2">
      <c r="B10" t="s">
        <v>432</v>
      </c>
      <c r="D10">
        <f>(D7+D6+D5)/3</f>
        <v>51.466666666666669</v>
      </c>
    </row>
    <row r="11" spans="1:8" x14ac:dyDescent="0.2">
      <c r="B11" t="s">
        <v>433</v>
      </c>
      <c r="D11">
        <f>(F5+F6+F7)/3</f>
        <v>5.8666666666666671</v>
      </c>
    </row>
    <row r="12" spans="1:8" x14ac:dyDescent="0.2">
      <c r="B12" t="s">
        <v>434</v>
      </c>
      <c r="D12">
        <f>H5</f>
        <v>6.9</v>
      </c>
      <c r="E12" t="s">
        <v>435</v>
      </c>
    </row>
    <row r="15" spans="1:8" x14ac:dyDescent="0.2">
      <c r="A15" s="52" t="s">
        <v>436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76515-24C6-4B6B-8D7E-EBF911E9F799}">
  <dimension ref="A1:L30"/>
  <sheetViews>
    <sheetView workbookViewId="0">
      <selection activeCell="G22" sqref="G22"/>
    </sheetView>
  </sheetViews>
  <sheetFormatPr baseColWidth="10" defaultColWidth="8.83203125" defaultRowHeight="15" x14ac:dyDescent="0.2"/>
  <sheetData>
    <row r="1" spans="1:12" x14ac:dyDescent="0.2">
      <c r="A1" s="52" t="s">
        <v>437</v>
      </c>
    </row>
    <row r="3" spans="1:12" x14ac:dyDescent="0.2">
      <c r="A3" t="s">
        <v>438</v>
      </c>
    </row>
    <row r="4" spans="1:12" x14ac:dyDescent="0.2">
      <c r="A4" t="s">
        <v>439</v>
      </c>
      <c r="C4" t="s">
        <v>425</v>
      </c>
      <c r="E4" t="s">
        <v>440</v>
      </c>
      <c r="F4" t="s">
        <v>441</v>
      </c>
    </row>
    <row r="5" spans="1:12" x14ac:dyDescent="0.2">
      <c r="A5" s="41">
        <f>C5*F5</f>
        <v>59.701333333333331</v>
      </c>
      <c r="B5" t="s">
        <v>442</v>
      </c>
      <c r="C5" s="41">
        <f>'Peer Multiples'!C4</f>
        <v>1.1599999999999999</v>
      </c>
      <c r="F5">
        <f>'Peer Multiples'!D10</f>
        <v>51.466666666666669</v>
      </c>
      <c r="K5" s="41">
        <f>'Peer Multiples'!C4</f>
        <v>1.1599999999999999</v>
      </c>
      <c r="L5" t="s">
        <v>425</v>
      </c>
    </row>
    <row r="6" spans="1:12" x14ac:dyDescent="0.2">
      <c r="K6">
        <f>'Peer Multiples'!E4</f>
        <v>9</v>
      </c>
      <c r="L6" t="s">
        <v>427</v>
      </c>
    </row>
    <row r="7" spans="1:12" x14ac:dyDescent="0.2">
      <c r="K7">
        <f>'Peer Multiples'!G4</f>
        <v>2.44</v>
      </c>
      <c r="L7" t="s">
        <v>162</v>
      </c>
    </row>
    <row r="8" spans="1:12" x14ac:dyDescent="0.2">
      <c r="A8" t="s">
        <v>443</v>
      </c>
      <c r="K8">
        <f>'Peer Multiples'!D10</f>
        <v>51.466666666666669</v>
      </c>
      <c r="L8" t="s">
        <v>444</v>
      </c>
    </row>
    <row r="9" spans="1:12" x14ac:dyDescent="0.2">
      <c r="A9" t="s">
        <v>439</v>
      </c>
      <c r="C9" t="s">
        <v>427</v>
      </c>
      <c r="E9" t="s">
        <v>440</v>
      </c>
      <c r="F9" t="s">
        <v>445</v>
      </c>
      <c r="K9">
        <f>'Peer Multiples'!D11</f>
        <v>5.8666666666666671</v>
      </c>
      <c r="L9" t="s">
        <v>446</v>
      </c>
    </row>
    <row r="10" spans="1:12" x14ac:dyDescent="0.2">
      <c r="A10" s="41">
        <f>C10*F10</f>
        <v>52.800000000000004</v>
      </c>
      <c r="B10" t="s">
        <v>442</v>
      </c>
      <c r="C10" s="41">
        <f>'Peer Multiples'!E4</f>
        <v>9</v>
      </c>
      <c r="F10">
        <f>'Peer Multiples'!D11</f>
        <v>5.8666666666666671</v>
      </c>
      <c r="K10">
        <f>'Peer Multiples'!D12</f>
        <v>6.9</v>
      </c>
      <c r="L10" t="s">
        <v>447</v>
      </c>
    </row>
    <row r="13" spans="1:12" x14ac:dyDescent="0.2">
      <c r="A13" t="s">
        <v>448</v>
      </c>
    </row>
    <row r="14" spans="1:12" x14ac:dyDescent="0.2">
      <c r="A14" t="s">
        <v>439</v>
      </c>
      <c r="C14" t="s">
        <v>162</v>
      </c>
      <c r="E14" t="s">
        <v>440</v>
      </c>
      <c r="F14" t="s">
        <v>449</v>
      </c>
    </row>
    <row r="15" spans="1:12" x14ac:dyDescent="0.2">
      <c r="A15" s="41">
        <f>C15*F15</f>
        <v>16.836000000000002</v>
      </c>
      <c r="B15" t="s">
        <v>442</v>
      </c>
      <c r="C15" s="41">
        <f>'Peer Multiples'!G4</f>
        <v>2.44</v>
      </c>
      <c r="F15">
        <f>'Peer Multiples'!D12</f>
        <v>6.9</v>
      </c>
    </row>
    <row r="19" spans="1:4" x14ac:dyDescent="0.2">
      <c r="A19" t="s">
        <v>450</v>
      </c>
    </row>
    <row r="20" spans="1:4" x14ac:dyDescent="0.2">
      <c r="A20" t="s">
        <v>451</v>
      </c>
      <c r="D20" s="41">
        <f>(A5+A10+A15)/3</f>
        <v>43.112444444444442</v>
      </c>
    </row>
    <row r="21" spans="1:4" x14ac:dyDescent="0.2">
      <c r="A21" t="s">
        <v>452</v>
      </c>
      <c r="D21" s="41">
        <f>(A5+A10)/2</f>
        <v>56.250666666666667</v>
      </c>
    </row>
    <row r="24" spans="1:4" x14ac:dyDescent="0.2">
      <c r="A24" t="s">
        <v>453</v>
      </c>
      <c r="D24" s="41">
        <f>'Raw Data'!A2</f>
        <v>31.63</v>
      </c>
    </row>
    <row r="26" spans="1:4" x14ac:dyDescent="0.2">
      <c r="A26" t="s">
        <v>454</v>
      </c>
      <c r="D26" s="41">
        <f>D20-D24</f>
        <v>11.482444444444443</v>
      </c>
    </row>
    <row r="27" spans="1:4" x14ac:dyDescent="0.2">
      <c r="A27" t="s">
        <v>455</v>
      </c>
      <c r="D27" s="41">
        <f>D21-D24</f>
        <v>24.620666666666668</v>
      </c>
    </row>
    <row r="30" spans="1:4" x14ac:dyDescent="0.2">
      <c r="A30" s="52" t="s">
        <v>456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DuPont Analysis</vt:lpstr>
      <vt:lpstr>Ratio Analysis</vt:lpstr>
      <vt:lpstr>Peer Multiples</vt:lpstr>
      <vt:lpstr>Valuation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Maria Neame</cp:lastModifiedBy>
  <cp:revision/>
  <dcterms:created xsi:type="dcterms:W3CDTF">2025-11-21T23:58:28Z</dcterms:created>
  <dcterms:modified xsi:type="dcterms:W3CDTF">2025-11-24T04:22:07Z</dcterms:modified>
  <cp:category/>
  <cp:contentStatus/>
</cp:coreProperties>
</file>